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Mac\Home\Downloads\"/>
    </mc:Choice>
  </mc:AlternateContent>
  <xr:revisionPtr revIDLastSave="0" documentId="13_ncr:1_{D2B04447-ECF2-4D9A-AE0D-440F917BFB47}" xr6:coauthVersionLast="47" xr6:coauthVersionMax="47" xr10:uidLastSave="{00000000-0000-0000-0000-000000000000}"/>
  <bookViews>
    <workbookView xWindow="-98" yWindow="-98" windowWidth="22875" windowHeight="13650" xr2:uid="{C4BE3CF4-559D-4083-B7EC-C4D4B9BE2272}"/>
  </bookViews>
  <sheets>
    <sheet name="Sheet1" sheetId="1" r:id="rId1"/>
    <sheet name="Sheet2" sheetId="2" r:id="rId2"/>
    <sheet name="Sheet3" sheetId="3" r:id="rId3"/>
  </sheets>
  <definedNames>
    <definedName name="Dataone">Sheet1!$A$2:$A$101</definedName>
    <definedName name="DataTwo">Sheet1!$C$2:$C$101</definedName>
    <definedName name="myrange">Sheet1!$A$1:$I$101</definedName>
    <definedName name="oyo">Sheet2!$A$1:$B$11</definedName>
    <definedName name="Two">Sheet2!$A$1:$A$11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" i="2"/>
  <c r="F1" i="2"/>
  <c r="E1" i="2"/>
  <c r="L2" i="1"/>
</calcChain>
</file>

<file path=xl/sharedStrings.xml><?xml version="1.0" encoding="utf-8"?>
<sst xmlns="http://schemas.openxmlformats.org/spreadsheetml/2006/main" count="422" uniqueCount="220">
  <si>
    <t>EmployeeNo</t>
  </si>
  <si>
    <t>EmployeeName</t>
  </si>
  <si>
    <t>DateOfBirth</t>
  </si>
  <si>
    <t>Sex</t>
  </si>
  <si>
    <t>DateEmployed</t>
  </si>
  <si>
    <t>Address</t>
  </si>
  <si>
    <t>CurrentDepartment</t>
  </si>
  <si>
    <t>Salary</t>
  </si>
  <si>
    <t>Kathy Fitzgerald</t>
  </si>
  <si>
    <t>Female</t>
  </si>
  <si>
    <t>4146 Lewis Island Apt. 422, Austinville, GA 41436</t>
  </si>
  <si>
    <t>Sales</t>
  </si>
  <si>
    <t>Heather Charles</t>
  </si>
  <si>
    <t>6348 Robert Ranch, West Saraborough, MI 16450</t>
  </si>
  <si>
    <t>Customer Service</t>
  </si>
  <si>
    <t>Melinda Thompson</t>
  </si>
  <si>
    <t>Other</t>
  </si>
  <si>
    <t>968 Randolph Islands Suite 054, Erinborough, AZ 48223</t>
  </si>
  <si>
    <t>Finance</t>
  </si>
  <si>
    <t>Donna Lam</t>
  </si>
  <si>
    <t>335 Banks Mount, North Jasonside, KS 43291</t>
  </si>
  <si>
    <t>John Fowler</t>
  </si>
  <si>
    <t>Male</t>
  </si>
  <si>
    <t>7579 Harrison Way, Davidstad, NE 79516</t>
  </si>
  <si>
    <t>Mark Young MD</t>
  </si>
  <si>
    <t>183 Lopez Ramp Apt. 719, West Ellenmouth, NE 64898</t>
  </si>
  <si>
    <t>Margaret Lopez</t>
  </si>
  <si>
    <t>29771 Pratt Cove Apt. 430, New Traceyhaven, UT 43338</t>
  </si>
  <si>
    <t>Marketing</t>
  </si>
  <si>
    <t>Heather Jackson</t>
  </si>
  <si>
    <t>4169 Sean Light Suite 625, Harmonstad, OH 49384</t>
  </si>
  <si>
    <t>Nicole Hall</t>
  </si>
  <si>
    <t>696 Adam Stravenue, Mckeefort, CO 62563</t>
  </si>
  <si>
    <t>Cheyenne Haynes</t>
  </si>
  <si>
    <t>6052 Anthony Extension, Katherinechester, MI 70939</t>
  </si>
  <si>
    <t>IT</t>
  </si>
  <si>
    <t>Patricia Norman</t>
  </si>
  <si>
    <t>047 Kathryn Parkway, Erikachester, NE 46965</t>
  </si>
  <si>
    <t>Tommy Lopez</t>
  </si>
  <si>
    <t>716 Rebecca Well, Nathanshire, VI 21545</t>
  </si>
  <si>
    <t>Crystal Stone</t>
  </si>
  <si>
    <t>24779 Sherry Hill, Patricktown, AL 55056</t>
  </si>
  <si>
    <t>Marc Brown</t>
  </si>
  <si>
    <t>1651 Carter Mountain, Mcguirestad, PA 08231</t>
  </si>
  <si>
    <t>Amy White</t>
  </si>
  <si>
    <t>108 Amanda Island, Port Abigail, WA 61213</t>
  </si>
  <si>
    <t>Drew Black</t>
  </si>
  <si>
    <t>510 Jackson Greens, Duranville, AK 16877</t>
  </si>
  <si>
    <t>Tristan Braun</t>
  </si>
  <si>
    <t>3320 Watson Shores, South Ashley, NV 00721</t>
  </si>
  <si>
    <t>Alexa Myers</t>
  </si>
  <si>
    <t>79022 Jose Cliffs Apt. 361, North Corey, NJ 72923</t>
  </si>
  <si>
    <t>Kathy Becker</t>
  </si>
  <si>
    <t>71972 Adam Lake, Port Laura, ND 18888</t>
  </si>
  <si>
    <t>Bradley Harrell</t>
  </si>
  <si>
    <t>1771 Laura Tunnel Apt. 819, East Jamesville, MD 94632</t>
  </si>
  <si>
    <t>Jessica Hart</t>
  </si>
  <si>
    <t>587 Isabella Street, North Hunter, MO 29601</t>
  </si>
  <si>
    <t>Matthew Weber</t>
  </si>
  <si>
    <t>73833 James Mills, Davidside, OH 51349</t>
  </si>
  <si>
    <t>Hannah Marsh</t>
  </si>
  <si>
    <t>62882 Adrienne Divide Apt. 486, Madelinechester, ME 01310</t>
  </si>
  <si>
    <t>Richard Johnson</t>
  </si>
  <si>
    <t>484 Elliott Lane, New Sarahmouth, ID 63168</t>
  </si>
  <si>
    <t>Amanda Buchanan</t>
  </si>
  <si>
    <t>907 Taylor Lights, East Meganberg, LA 92822</t>
  </si>
  <si>
    <t>James Sutton</t>
  </si>
  <si>
    <t>40533 Brett Cliffs, South Tiffanymouth, MN 25128</t>
  </si>
  <si>
    <t>Tina Church</t>
  </si>
  <si>
    <t>3678 Wood Rapid Apt. 893, Phillipsmouth, OK 84419</t>
  </si>
  <si>
    <t>Lucas Peterson</t>
  </si>
  <si>
    <t>0073 Denise Drives Suite 049, Reynoldshaven, KY 85184</t>
  </si>
  <si>
    <t>Robert Mckinney</t>
  </si>
  <si>
    <t>855 Mario Key Apt. 018, Christopherview, IA 68330</t>
  </si>
  <si>
    <t>Janice Sanchez</t>
  </si>
  <si>
    <t>142 Stacey Ville Apt. 446, Jonathanmouth, NV 82123</t>
  </si>
  <si>
    <t>Human Resources</t>
  </si>
  <si>
    <t>William Gonzalez</t>
  </si>
  <si>
    <t>88645 Salazar Mission Suite 852, Port Meganborough, WV 23051</t>
  </si>
  <si>
    <t>Emily Richardson</t>
  </si>
  <si>
    <t>270 Bradley Track Suite 392, Briannaburgh, NM 12054</t>
  </si>
  <si>
    <t>Joan Foley</t>
  </si>
  <si>
    <t>7140 Joshua Mission, South Stephanieside, NV 29396</t>
  </si>
  <si>
    <t>Megan Tran</t>
  </si>
  <si>
    <t>07345 Laurie Knolls, North Shelleymouth, IA 75039</t>
  </si>
  <si>
    <t>Brenda Maldonado</t>
  </si>
  <si>
    <t>PSC 7514, Box 3505, APO AE 43137</t>
  </si>
  <si>
    <t>Wendy Yang</t>
  </si>
  <si>
    <t>98131 David Pass, Sanfordbury, NE 28559</t>
  </si>
  <si>
    <t>Michael Charles DDS</t>
  </si>
  <si>
    <t>USNS Thompson, FPO AA 97847</t>
  </si>
  <si>
    <t>Lisa Williams MD</t>
  </si>
  <si>
    <t>060 Fuller Groves Suite 625, Garciamouth, NH 36467</t>
  </si>
  <si>
    <t>Michael Whitney</t>
  </si>
  <si>
    <t>42121 Christopher Curve Suite 534, Turnerville, OR 84230</t>
  </si>
  <si>
    <t>Charles Little</t>
  </si>
  <si>
    <t>44003 Kathleen Shoal, New Amberhaven, VI 35784</t>
  </si>
  <si>
    <t>Grace Thomas</t>
  </si>
  <si>
    <t>PSC 7983, Box 1184, APO AP 75516</t>
  </si>
  <si>
    <t>Sara Ramos</t>
  </si>
  <si>
    <t>84575 Christopher Valley, Katherinefurt, IL 89270</t>
  </si>
  <si>
    <t>Emily Thompson</t>
  </si>
  <si>
    <t>6667 Bradley Knolls, Nicholsmouth, AL 07932</t>
  </si>
  <si>
    <t>Thomas Marshall</t>
  </si>
  <si>
    <t>4799 Jose Underpass Apt. 089, Ambermouth, WA 68385</t>
  </si>
  <si>
    <t>Adrian Rios</t>
  </si>
  <si>
    <t>9563 Brown Highway Suite 277, Espinozaborough, MI 83149</t>
  </si>
  <si>
    <t>Kenneth Bond</t>
  </si>
  <si>
    <t>31053 Mark Glen Suite 658, North Richard, IA 76484</t>
  </si>
  <si>
    <t>Christopher Bryan</t>
  </si>
  <si>
    <t>USCGC Navarro, FPO AP 47278</t>
  </si>
  <si>
    <t>Lisa Jenkins</t>
  </si>
  <si>
    <t>58829 Gray Shoals, Sanfordmouth, GA 40950</t>
  </si>
  <si>
    <t>Gregg Schwartz</t>
  </si>
  <si>
    <t>1916 Paul Mission, North Veronica, RI 63816</t>
  </si>
  <si>
    <t>Emily Garcia</t>
  </si>
  <si>
    <t>PSC 7056, Box 0069, APO AE 14855</t>
  </si>
  <si>
    <t>Rhonda Williams</t>
  </si>
  <si>
    <t>7201 Melissa Isle, Browntown, GA 58129</t>
  </si>
  <si>
    <t>Angela Anderson</t>
  </si>
  <si>
    <t>5891 Brian Lodge, South Mark, IL 97630</t>
  </si>
  <si>
    <t>Michael Graham</t>
  </si>
  <si>
    <t>5916 Virginia Streets Apt. 123, Buckleyburgh, TN 61082</t>
  </si>
  <si>
    <t>Robert Mitchell</t>
  </si>
  <si>
    <t>31110 Anderson Gateway, East Matthew, UT 86933</t>
  </si>
  <si>
    <t>Anne Barr</t>
  </si>
  <si>
    <t>78485 Burton Squares, Millerburgh, IA 29960</t>
  </si>
  <si>
    <t>Connor Rodriguez</t>
  </si>
  <si>
    <t>74340 Schwartz Tunnel Apt. 073, Lake Whitneyburgh, CO 43945</t>
  </si>
  <si>
    <t>Walter Mills</t>
  </si>
  <si>
    <t>7256 Mary Way, Prattmouth, MO 08254</t>
  </si>
  <si>
    <t>Savannah Hurst</t>
  </si>
  <si>
    <t>3300 Nicole Village, Kevinhaven, KS 48781</t>
  </si>
  <si>
    <t>Jill Benton</t>
  </si>
  <si>
    <t>51995 James Turnpike Suite 147, Tylerville, WV 77312</t>
  </si>
  <si>
    <t>Sean Harrell</t>
  </si>
  <si>
    <t>PSC 5656, Box 7554, APO AP 21558</t>
  </si>
  <si>
    <t>Morgan Smith</t>
  </si>
  <si>
    <t>563 Stanley Plaza Apt. 392, Ericport, CT 09327</t>
  </si>
  <si>
    <t>Teresa Miller</t>
  </si>
  <si>
    <t>5866 Catherine Plain Apt. 458, Port Carrie, NC 16837</t>
  </si>
  <si>
    <t>Michael Gutierrez</t>
  </si>
  <si>
    <t>3739 Elizabeth Shoals Suite 303, Fullerfort, AS 51478</t>
  </si>
  <si>
    <t>Allen Cohen</t>
  </si>
  <si>
    <t>104 Harper Views Suite 999, Murrayside, KS 08163</t>
  </si>
  <si>
    <t>Mary Lawrence</t>
  </si>
  <si>
    <t>53065 Bowers Landing, East Connorhaven, NH 08427</t>
  </si>
  <si>
    <t>David Johnson</t>
  </si>
  <si>
    <t>PSC 5582, Box 3835, APO AP 03312</t>
  </si>
  <si>
    <t>Dana Jones</t>
  </si>
  <si>
    <t>Unit 9930 Box 4287, DPO AA 65552</t>
  </si>
  <si>
    <t>Austin Hawkins</t>
  </si>
  <si>
    <t>0955 Alvarez Falls Apt. 199, Lindseyside, TN 18661</t>
  </si>
  <si>
    <t>Cathy Berry</t>
  </si>
  <si>
    <t>13664 Mary Skyway, Douglasfurt, CA 54225</t>
  </si>
  <si>
    <t>Melissa Maynard</t>
  </si>
  <si>
    <t>88872 Thomas Valleys, Port Pamelafort, NJ 76084</t>
  </si>
  <si>
    <t>Sherry Lopez</t>
  </si>
  <si>
    <t>618 Brett Forks Suite 922, Sarahton, NV 17753</t>
  </si>
  <si>
    <t>Caitlin Harrington</t>
  </si>
  <si>
    <t>973 Lance Court, East Annette, OH 82167</t>
  </si>
  <si>
    <t>David Barnett</t>
  </si>
  <si>
    <t>59944 Coleman Shores Apt. 231, Johnsonport, CO 01732</t>
  </si>
  <si>
    <t>Robin Roman</t>
  </si>
  <si>
    <t>437 Joan Turnpike, Moorestad, DC 56970</t>
  </si>
  <si>
    <t>Tammy Bennett</t>
  </si>
  <si>
    <t>Unit 3963 Box 8164, DPO AP 71818</t>
  </si>
  <si>
    <t>Jessica Mejia</t>
  </si>
  <si>
    <t>1490 Baker Flats, New Brettbury, HI 20579</t>
  </si>
  <si>
    <t>William Kim</t>
  </si>
  <si>
    <t>232 Taylor Gateway, Meganshire, WY 05435</t>
  </si>
  <si>
    <t>Jessica Beltran</t>
  </si>
  <si>
    <t>291 John Ford, Lake Gerald, VA 88296</t>
  </si>
  <si>
    <t>Alyssa Morrison</t>
  </si>
  <si>
    <t>77474 Amy Tunnel, Port Andrewburgh, CA 94878</t>
  </si>
  <si>
    <t>Darren Long</t>
  </si>
  <si>
    <t>225 Gary Islands, Lambberg, WY 39848</t>
  </si>
  <si>
    <t>Kyle Wilson</t>
  </si>
  <si>
    <t>99163 Dustin Spur, Lewisstad, NJ 93863</t>
  </si>
  <si>
    <t>David Price</t>
  </si>
  <si>
    <t>33051 Duarte Park Suite 754, South Catherineport, NJ 47647</t>
  </si>
  <si>
    <t>Christopher Mills</t>
  </si>
  <si>
    <t>203 Schneider Mission Apt. 745, West Linda, NH 42421</t>
  </si>
  <si>
    <t>Cory Grimes</t>
  </si>
  <si>
    <t>2449 Hughes Neck, Brentmouth, CO 17992</t>
  </si>
  <si>
    <t>Adam Swanson</t>
  </si>
  <si>
    <t>5919 Lucas Field, Shellychester, MI 32513</t>
  </si>
  <si>
    <t>Jacqueline Miller</t>
  </si>
  <si>
    <t>947 Hodges Mission Apt. 108, Bushchester, MA 64072</t>
  </si>
  <si>
    <t>James Salinas</t>
  </si>
  <si>
    <t>841 Katelyn Tunnel Suite 452, North George, RI 23532</t>
  </si>
  <si>
    <t>Travis Mata</t>
  </si>
  <si>
    <t>8428 Caitlin Tunnel, Laneshire, WA 22589</t>
  </si>
  <si>
    <t>Sarah Shaw</t>
  </si>
  <si>
    <t>291 Smith Radial, Julieshire, MH 39751</t>
  </si>
  <si>
    <t>Richard Kelly</t>
  </si>
  <si>
    <t>310 Heather Keys, Gonzalesborough, KY 45759</t>
  </si>
  <si>
    <t>Daniel Hughes</t>
  </si>
  <si>
    <t>765 Melissa Dale, Changland, WI 75549</t>
  </si>
  <si>
    <t>Justin Henderson</t>
  </si>
  <si>
    <t>919 Kimberly Parkway Apt. 183, Ryanville, MT 65097</t>
  </si>
  <si>
    <t>Margaret Sullivan</t>
  </si>
  <si>
    <t>404 Travis Ways, Christophershire, ME 87417</t>
  </si>
  <si>
    <t>Daniel Jackson</t>
  </si>
  <si>
    <t>12181 Smith Plains Apt. 765, Evanside, ME 14348</t>
  </si>
  <si>
    <t>Dale Allen</t>
  </si>
  <si>
    <t>09208 Vega Oval, Lake Loriborough, MH 92878</t>
  </si>
  <si>
    <t>Jonathan Jones</t>
  </si>
  <si>
    <t>650 John Lake Suite 755, West Cindy, TX 89979</t>
  </si>
  <si>
    <t>Dawn Ortiz</t>
  </si>
  <si>
    <t>5165 Robinson Flats Apt. 380, Eddiebury, NC 69078</t>
  </si>
  <si>
    <t>Vanessa Smith</t>
  </si>
  <si>
    <t>Unit 0644 Box 1994, DPO AP 47061</t>
  </si>
  <si>
    <t>Alan Cook Jr.</t>
  </si>
  <si>
    <t>439 Janet Terrace Apt. 944, Murrayville, OR 98346</t>
  </si>
  <si>
    <t>Sharon Rose</t>
  </si>
  <si>
    <t>2101 Jones Creek Suite 790, North Jonathan, IN 17782</t>
  </si>
  <si>
    <t>EMployeeNo</t>
  </si>
  <si>
    <t>= TEXT(A2,"#####")</t>
  </si>
  <si>
    <t>=A3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</si>
</sst>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14" fontId="0" fillId="0" borderId="0" xfId="0" applyNumberFormat="1"/>
    <xf numFmtId="14" fontId="2" fillId="0" borderId="2" xfId="0" applyNumberFormat="1" applyFont="1" applyBorder="1" applyAlignment="1">
      <alignment horizontal="center" vertical="top"/>
    </xf>
    <xf numFmtId="14" fontId="1" fillId="0" borderId="0" xfId="0" applyNumberFormat="1" applyFont="1"/>
    <xf numFmtId="49" fontId="1" fillId="0" borderId="0" xfId="0" applyNumberFormat="1" applyFont="1"/>
    <xf numFmtId="49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9B746-8C81-4DBA-98A9-5BE85E2AACFA}">
  <sheetPr codeName="Sheet1"/>
  <dimension ref="A1:L101"/>
  <sheetViews>
    <sheetView tabSelected="1" workbookViewId="0">
      <selection activeCell="B4" sqref="B4"/>
    </sheetView>
  </sheetViews>
  <sheetFormatPr defaultRowHeight="14.25" x14ac:dyDescent="0.45"/>
  <cols>
    <col min="1" max="2" width="14.9296875" style="8" customWidth="1"/>
    <col min="3" max="3" width="23.86328125" customWidth="1"/>
    <col min="4" max="4" width="16.33203125" style="4" customWidth="1"/>
    <col min="5" max="5" width="14.73046875" customWidth="1"/>
    <col min="6" max="6" width="17.265625" style="4" customWidth="1"/>
    <col min="7" max="7" width="52.796875" customWidth="1"/>
    <col min="8" max="8" width="22.9296875" customWidth="1"/>
    <col min="9" max="9" width="15.9296875" customWidth="1"/>
  </cols>
  <sheetData>
    <row r="1" spans="1:12" x14ac:dyDescent="0.45">
      <c r="A1" s="7" t="s">
        <v>0</v>
      </c>
      <c r="B1" s="7" t="s">
        <v>217</v>
      </c>
      <c r="C1" s="2" t="s">
        <v>1</v>
      </c>
      <c r="D1" s="5" t="s">
        <v>2</v>
      </c>
      <c r="E1" s="3" t="s">
        <v>3</v>
      </c>
      <c r="F1" s="5" t="s">
        <v>4</v>
      </c>
      <c r="G1" s="3" t="s">
        <v>5</v>
      </c>
      <c r="H1" s="3" t="s">
        <v>6</v>
      </c>
      <c r="I1" s="3" t="s">
        <v>7</v>
      </c>
    </row>
    <row r="2" spans="1:12" x14ac:dyDescent="0.45">
      <c r="A2" s="9">
        <v>10001</v>
      </c>
      <c r="B2" s="7" t="s">
        <v>218</v>
      </c>
      <c r="C2" s="1" t="s">
        <v>8</v>
      </c>
      <c r="D2" s="6">
        <v>36516</v>
      </c>
      <c r="E2" s="1" t="s">
        <v>9</v>
      </c>
      <c r="F2" s="6">
        <v>42919</v>
      </c>
      <c r="G2" s="1" t="s">
        <v>10</v>
      </c>
      <c r="H2" s="1" t="s">
        <v>11</v>
      </c>
      <c r="I2" s="1">
        <v>39006.82</v>
      </c>
      <c r="L2" t="str">
        <f>VLOOKUP(10001, myrange, 2, FALSE)</f>
        <v>= TEXT(A2,"#####")</v>
      </c>
    </row>
    <row r="3" spans="1:12" x14ac:dyDescent="0.45">
      <c r="A3" s="9">
        <v>10002</v>
      </c>
      <c r="B3" s="7" t="s">
        <v>219</v>
      </c>
      <c r="C3" s="1" t="s">
        <v>12</v>
      </c>
      <c r="D3" s="6">
        <v>30519</v>
      </c>
      <c r="E3" s="1" t="s">
        <v>9</v>
      </c>
      <c r="F3" s="6">
        <v>45131</v>
      </c>
      <c r="G3" s="1" t="s">
        <v>13</v>
      </c>
      <c r="H3" s="1" t="s">
        <v>14</v>
      </c>
      <c r="I3" s="1">
        <v>65318.21</v>
      </c>
    </row>
    <row r="4" spans="1:12" x14ac:dyDescent="0.45">
      <c r="A4" s="9">
        <v>10003</v>
      </c>
      <c r="B4" s="7"/>
      <c r="C4" s="1" t="s">
        <v>15</v>
      </c>
      <c r="D4" s="6">
        <v>34777</v>
      </c>
      <c r="E4" s="1" t="s">
        <v>16</v>
      </c>
      <c r="F4" s="6">
        <v>44133</v>
      </c>
      <c r="G4" s="1" t="s">
        <v>17</v>
      </c>
      <c r="H4" s="1" t="s">
        <v>18</v>
      </c>
      <c r="I4" s="1">
        <v>69719.75</v>
      </c>
    </row>
    <row r="5" spans="1:12" x14ac:dyDescent="0.45">
      <c r="A5" s="9">
        <v>10004</v>
      </c>
      <c r="B5" s="7"/>
      <c r="C5" s="1" t="s">
        <v>19</v>
      </c>
      <c r="D5" s="6">
        <v>35665</v>
      </c>
      <c r="E5" s="1" t="s">
        <v>9</v>
      </c>
      <c r="F5" s="6">
        <v>43923</v>
      </c>
      <c r="G5" s="1" t="s">
        <v>20</v>
      </c>
      <c r="H5" s="1" t="s">
        <v>14</v>
      </c>
      <c r="I5" s="1">
        <v>64383.08</v>
      </c>
    </row>
    <row r="6" spans="1:12" x14ac:dyDescent="0.45">
      <c r="A6" s="9">
        <v>10005</v>
      </c>
      <c r="B6" s="7"/>
      <c r="C6" s="1" t="s">
        <v>21</v>
      </c>
      <c r="D6" s="6">
        <v>27681</v>
      </c>
      <c r="E6" s="1" t="s">
        <v>22</v>
      </c>
      <c r="F6" s="6">
        <v>42479</v>
      </c>
      <c r="G6" s="1" t="s">
        <v>23</v>
      </c>
      <c r="H6" s="1" t="s">
        <v>18</v>
      </c>
      <c r="I6" s="1">
        <v>55375.9</v>
      </c>
    </row>
    <row r="7" spans="1:12" x14ac:dyDescent="0.45">
      <c r="A7" s="9">
        <v>10006</v>
      </c>
      <c r="B7" s="7"/>
      <c r="C7" s="1" t="s">
        <v>24</v>
      </c>
      <c r="D7" s="6">
        <v>27171</v>
      </c>
      <c r="E7" s="1" t="s">
        <v>9</v>
      </c>
      <c r="F7" s="6">
        <v>44650</v>
      </c>
      <c r="G7" s="1" t="s">
        <v>25</v>
      </c>
      <c r="H7" s="1" t="s">
        <v>14</v>
      </c>
      <c r="I7" s="1">
        <v>39936.71</v>
      </c>
    </row>
    <row r="8" spans="1:12" x14ac:dyDescent="0.45">
      <c r="A8" s="9">
        <v>10007</v>
      </c>
      <c r="B8" s="7"/>
      <c r="C8" s="1" t="s">
        <v>26</v>
      </c>
      <c r="D8" s="6">
        <v>28617</v>
      </c>
      <c r="E8" s="1" t="s">
        <v>9</v>
      </c>
      <c r="F8" s="6">
        <v>44067</v>
      </c>
      <c r="G8" s="1" t="s">
        <v>27</v>
      </c>
      <c r="H8" s="1" t="s">
        <v>28</v>
      </c>
      <c r="I8" s="1">
        <v>74318.710000000006</v>
      </c>
    </row>
    <row r="9" spans="1:12" x14ac:dyDescent="0.45">
      <c r="A9" s="9">
        <v>10008</v>
      </c>
      <c r="B9" s="7"/>
      <c r="C9" s="1" t="s">
        <v>29</v>
      </c>
      <c r="D9" s="6">
        <v>36187</v>
      </c>
      <c r="E9" s="1" t="s">
        <v>16</v>
      </c>
      <c r="F9" s="6">
        <v>42137</v>
      </c>
      <c r="G9" s="1" t="s">
        <v>30</v>
      </c>
      <c r="H9" s="1" t="s">
        <v>28</v>
      </c>
      <c r="I9" s="1">
        <v>40007.49</v>
      </c>
    </row>
    <row r="10" spans="1:12" x14ac:dyDescent="0.45">
      <c r="A10" s="9">
        <v>10009</v>
      </c>
      <c r="B10" s="7"/>
      <c r="C10" s="1" t="s">
        <v>31</v>
      </c>
      <c r="D10" s="6">
        <v>24876</v>
      </c>
      <c r="E10" s="1" t="s">
        <v>9</v>
      </c>
      <c r="F10" s="6">
        <v>44633</v>
      </c>
      <c r="G10" s="1" t="s">
        <v>32</v>
      </c>
      <c r="H10" s="1" t="s">
        <v>18</v>
      </c>
      <c r="I10" s="1">
        <v>48750.54</v>
      </c>
    </row>
    <row r="11" spans="1:12" x14ac:dyDescent="0.45">
      <c r="A11" s="9">
        <v>10010</v>
      </c>
      <c r="B11" s="7"/>
      <c r="C11" s="1" t="s">
        <v>33</v>
      </c>
      <c r="D11" s="6">
        <v>26912</v>
      </c>
      <c r="E11" s="1" t="s">
        <v>22</v>
      </c>
      <c r="F11" s="6">
        <v>44441</v>
      </c>
      <c r="G11" s="1" t="s">
        <v>34</v>
      </c>
      <c r="H11" s="1" t="s">
        <v>35</v>
      </c>
      <c r="I11" s="1">
        <v>40803.74</v>
      </c>
    </row>
    <row r="12" spans="1:12" x14ac:dyDescent="0.45">
      <c r="A12" s="7">
        <v>10011</v>
      </c>
      <c r="B12" s="7"/>
      <c r="C12" s="1" t="s">
        <v>36</v>
      </c>
      <c r="D12" s="6">
        <v>37696</v>
      </c>
      <c r="E12" s="1" t="s">
        <v>9</v>
      </c>
      <c r="F12" s="6">
        <v>44924</v>
      </c>
      <c r="G12" s="1" t="s">
        <v>37</v>
      </c>
      <c r="H12" s="1" t="s">
        <v>18</v>
      </c>
      <c r="I12" s="1">
        <v>96445.5</v>
      </c>
    </row>
    <row r="13" spans="1:12" x14ac:dyDescent="0.45">
      <c r="A13" s="7">
        <v>10012</v>
      </c>
      <c r="B13" s="7"/>
      <c r="C13" s="1" t="s">
        <v>38</v>
      </c>
      <c r="D13" s="6">
        <v>38058</v>
      </c>
      <c r="E13" s="1" t="s">
        <v>9</v>
      </c>
      <c r="F13" s="6">
        <v>42178</v>
      </c>
      <c r="G13" s="1" t="s">
        <v>39</v>
      </c>
      <c r="H13" s="1" t="s">
        <v>14</v>
      </c>
      <c r="I13" s="1">
        <v>99669.04</v>
      </c>
    </row>
    <row r="14" spans="1:12" x14ac:dyDescent="0.45">
      <c r="A14" s="7">
        <v>10013</v>
      </c>
      <c r="B14" s="7"/>
      <c r="C14" s="1" t="s">
        <v>40</v>
      </c>
      <c r="D14" s="6">
        <v>21601</v>
      </c>
      <c r="E14" s="1" t="s">
        <v>22</v>
      </c>
      <c r="F14" s="6">
        <v>43185</v>
      </c>
      <c r="G14" s="1" t="s">
        <v>41</v>
      </c>
      <c r="H14" s="1" t="s">
        <v>14</v>
      </c>
      <c r="I14" s="1">
        <v>47279.21</v>
      </c>
    </row>
    <row r="15" spans="1:12" x14ac:dyDescent="0.45">
      <c r="A15" s="7">
        <v>10014</v>
      </c>
      <c r="B15" s="7"/>
      <c r="C15" s="1" t="s">
        <v>42</v>
      </c>
      <c r="D15" s="6">
        <v>32008</v>
      </c>
      <c r="E15" s="1" t="s">
        <v>16</v>
      </c>
      <c r="F15" s="6">
        <v>42231</v>
      </c>
      <c r="G15" s="1" t="s">
        <v>43</v>
      </c>
      <c r="H15" s="1" t="s">
        <v>35</v>
      </c>
      <c r="I15" s="1">
        <v>32921.629999999997</v>
      </c>
    </row>
    <row r="16" spans="1:12" x14ac:dyDescent="0.45">
      <c r="A16" s="7">
        <v>10015</v>
      </c>
      <c r="B16" s="7"/>
      <c r="C16" s="1" t="s">
        <v>44</v>
      </c>
      <c r="D16" s="6">
        <v>34963</v>
      </c>
      <c r="E16" s="1" t="s">
        <v>9</v>
      </c>
      <c r="F16" s="6">
        <v>43959</v>
      </c>
      <c r="G16" s="1" t="s">
        <v>45</v>
      </c>
      <c r="H16" s="1" t="s">
        <v>18</v>
      </c>
      <c r="I16" s="1">
        <v>93631.43</v>
      </c>
    </row>
    <row r="17" spans="1:9" x14ac:dyDescent="0.45">
      <c r="A17" s="7">
        <v>10016</v>
      </c>
      <c r="B17" s="7"/>
      <c r="C17" s="1" t="s">
        <v>46</v>
      </c>
      <c r="D17" s="6">
        <v>28979</v>
      </c>
      <c r="E17" s="1" t="s">
        <v>9</v>
      </c>
      <c r="F17" s="6">
        <v>44579</v>
      </c>
      <c r="G17" s="1" t="s">
        <v>47</v>
      </c>
      <c r="H17" s="1" t="s">
        <v>18</v>
      </c>
      <c r="I17" s="1">
        <v>89010.69</v>
      </c>
    </row>
    <row r="18" spans="1:9" x14ac:dyDescent="0.45">
      <c r="A18" s="7">
        <v>10017</v>
      </c>
      <c r="B18" s="7"/>
      <c r="C18" s="1" t="s">
        <v>48</v>
      </c>
      <c r="D18" s="6">
        <v>34676</v>
      </c>
      <c r="E18" s="1" t="s">
        <v>22</v>
      </c>
      <c r="F18" s="6">
        <v>45038</v>
      </c>
      <c r="G18" s="1" t="s">
        <v>49</v>
      </c>
      <c r="H18" s="1" t="s">
        <v>28</v>
      </c>
      <c r="I18" s="1">
        <v>82393.47</v>
      </c>
    </row>
    <row r="19" spans="1:9" x14ac:dyDescent="0.45">
      <c r="A19" s="7">
        <v>10018</v>
      </c>
      <c r="B19" s="7"/>
      <c r="C19" s="1" t="s">
        <v>50</v>
      </c>
      <c r="D19" s="6">
        <v>37191</v>
      </c>
      <c r="E19" s="1" t="s">
        <v>16</v>
      </c>
      <c r="F19" s="6">
        <v>45116</v>
      </c>
      <c r="G19" s="1" t="s">
        <v>51</v>
      </c>
      <c r="H19" s="1" t="s">
        <v>14</v>
      </c>
      <c r="I19" s="1">
        <v>35163.64</v>
      </c>
    </row>
    <row r="20" spans="1:9" x14ac:dyDescent="0.45">
      <c r="A20" s="7">
        <v>10019</v>
      </c>
      <c r="B20" s="7"/>
      <c r="C20" s="1" t="s">
        <v>52</v>
      </c>
      <c r="D20" s="6">
        <v>30860</v>
      </c>
      <c r="E20" s="1" t="s">
        <v>9</v>
      </c>
      <c r="F20" s="6">
        <v>44182</v>
      </c>
      <c r="G20" s="1" t="s">
        <v>53</v>
      </c>
      <c r="H20" s="1" t="s">
        <v>28</v>
      </c>
      <c r="I20" s="1">
        <v>88874.57</v>
      </c>
    </row>
    <row r="21" spans="1:9" x14ac:dyDescent="0.45">
      <c r="A21" s="7">
        <v>10020</v>
      </c>
      <c r="B21" s="7"/>
      <c r="C21" s="1" t="s">
        <v>54</v>
      </c>
      <c r="D21" s="6">
        <v>21570</v>
      </c>
      <c r="E21" s="1" t="s">
        <v>9</v>
      </c>
      <c r="F21" s="6">
        <v>45283</v>
      </c>
      <c r="G21" s="1" t="s">
        <v>55</v>
      </c>
      <c r="H21" s="1" t="s">
        <v>18</v>
      </c>
      <c r="I21" s="1">
        <v>41944.95</v>
      </c>
    </row>
    <row r="22" spans="1:9" x14ac:dyDescent="0.45">
      <c r="A22" s="7">
        <v>10021</v>
      </c>
      <c r="B22" s="7"/>
      <c r="C22" s="1" t="s">
        <v>56</v>
      </c>
      <c r="D22" s="6">
        <v>29770</v>
      </c>
      <c r="E22" s="1" t="s">
        <v>16</v>
      </c>
      <c r="F22" s="6">
        <v>42986</v>
      </c>
      <c r="G22" s="1" t="s">
        <v>57</v>
      </c>
      <c r="H22" s="1" t="s">
        <v>35</v>
      </c>
      <c r="I22" s="1">
        <v>86646.45</v>
      </c>
    </row>
    <row r="23" spans="1:9" x14ac:dyDescent="0.45">
      <c r="A23" s="7">
        <v>10022</v>
      </c>
      <c r="B23" s="7"/>
      <c r="C23" s="1" t="s">
        <v>58</v>
      </c>
      <c r="D23" s="6">
        <v>32645</v>
      </c>
      <c r="E23" s="1" t="s">
        <v>22</v>
      </c>
      <c r="F23" s="6">
        <v>44826</v>
      </c>
      <c r="G23" s="1" t="s">
        <v>59</v>
      </c>
      <c r="H23" s="1" t="s">
        <v>35</v>
      </c>
      <c r="I23" s="1">
        <v>33664.78</v>
      </c>
    </row>
    <row r="24" spans="1:9" x14ac:dyDescent="0.45">
      <c r="A24" s="7">
        <v>10023</v>
      </c>
      <c r="B24" s="7"/>
      <c r="C24" s="1" t="s">
        <v>60</v>
      </c>
      <c r="D24" s="6">
        <v>37544</v>
      </c>
      <c r="E24" s="1" t="s">
        <v>16</v>
      </c>
      <c r="F24" s="6">
        <v>43204</v>
      </c>
      <c r="G24" s="1" t="s">
        <v>61</v>
      </c>
      <c r="H24" s="1" t="s">
        <v>14</v>
      </c>
      <c r="I24" s="1">
        <v>91558.51</v>
      </c>
    </row>
    <row r="25" spans="1:9" x14ac:dyDescent="0.45">
      <c r="A25" s="7">
        <v>10024</v>
      </c>
      <c r="B25" s="7"/>
      <c r="C25" s="1" t="s">
        <v>62</v>
      </c>
      <c r="D25" s="6">
        <v>28710</v>
      </c>
      <c r="E25" s="1" t="s">
        <v>22</v>
      </c>
      <c r="F25" s="6">
        <v>42389</v>
      </c>
      <c r="G25" s="1" t="s">
        <v>63</v>
      </c>
      <c r="H25" s="1" t="s">
        <v>14</v>
      </c>
      <c r="I25" s="1">
        <v>96041.63</v>
      </c>
    </row>
    <row r="26" spans="1:9" x14ac:dyDescent="0.45">
      <c r="A26" s="7">
        <v>10025</v>
      </c>
      <c r="B26" s="7"/>
      <c r="C26" s="1" t="s">
        <v>64</v>
      </c>
      <c r="D26" s="6">
        <v>35554</v>
      </c>
      <c r="E26" s="1" t="s">
        <v>22</v>
      </c>
      <c r="F26" s="6">
        <v>45188</v>
      </c>
      <c r="G26" s="1" t="s">
        <v>65</v>
      </c>
      <c r="H26" s="1" t="s">
        <v>28</v>
      </c>
      <c r="I26" s="1">
        <v>98818.26</v>
      </c>
    </row>
    <row r="27" spans="1:9" x14ac:dyDescent="0.45">
      <c r="A27" s="7">
        <v>10026</v>
      </c>
      <c r="B27" s="7"/>
      <c r="C27" s="1" t="s">
        <v>66</v>
      </c>
      <c r="D27" s="6">
        <v>36025</v>
      </c>
      <c r="E27" s="1" t="s">
        <v>22</v>
      </c>
      <c r="F27" s="6">
        <v>43084</v>
      </c>
      <c r="G27" s="1" t="s">
        <v>67</v>
      </c>
      <c r="H27" s="1" t="s">
        <v>14</v>
      </c>
      <c r="I27" s="1">
        <v>96434.11</v>
      </c>
    </row>
    <row r="28" spans="1:9" x14ac:dyDescent="0.45">
      <c r="A28" s="7">
        <v>10027</v>
      </c>
      <c r="B28" s="7"/>
      <c r="C28" s="1" t="s">
        <v>68</v>
      </c>
      <c r="D28" s="6">
        <v>33284</v>
      </c>
      <c r="E28" s="1" t="s">
        <v>16</v>
      </c>
      <c r="F28" s="6">
        <v>43224</v>
      </c>
      <c r="G28" s="1" t="s">
        <v>69</v>
      </c>
      <c r="H28" s="1" t="s">
        <v>11</v>
      </c>
      <c r="I28" s="1">
        <v>31872.52</v>
      </c>
    </row>
    <row r="29" spans="1:9" x14ac:dyDescent="0.45">
      <c r="A29" s="7">
        <v>10028</v>
      </c>
      <c r="B29" s="7"/>
      <c r="C29" s="1" t="s">
        <v>70</v>
      </c>
      <c r="D29" s="6">
        <v>29757</v>
      </c>
      <c r="E29" s="1" t="s">
        <v>22</v>
      </c>
      <c r="F29" s="6">
        <v>42422</v>
      </c>
      <c r="G29" s="1" t="s">
        <v>71</v>
      </c>
      <c r="H29" s="1" t="s">
        <v>28</v>
      </c>
      <c r="I29" s="1">
        <v>80379.13</v>
      </c>
    </row>
    <row r="30" spans="1:9" x14ac:dyDescent="0.45">
      <c r="A30" s="7">
        <v>10029</v>
      </c>
      <c r="B30" s="7"/>
      <c r="C30" s="1" t="s">
        <v>72</v>
      </c>
      <c r="D30" s="6">
        <v>31259</v>
      </c>
      <c r="E30" s="1" t="s">
        <v>22</v>
      </c>
      <c r="F30" s="6">
        <v>43102</v>
      </c>
      <c r="G30" s="1" t="s">
        <v>73</v>
      </c>
      <c r="H30" s="1" t="s">
        <v>35</v>
      </c>
      <c r="I30" s="1">
        <v>66194.41</v>
      </c>
    </row>
    <row r="31" spans="1:9" x14ac:dyDescent="0.45">
      <c r="A31" s="7">
        <v>10030</v>
      </c>
      <c r="B31" s="7"/>
      <c r="C31" s="1" t="s">
        <v>74</v>
      </c>
      <c r="D31" s="6">
        <v>37859</v>
      </c>
      <c r="E31" s="1" t="s">
        <v>16</v>
      </c>
      <c r="F31" s="6">
        <v>42170</v>
      </c>
      <c r="G31" s="1" t="s">
        <v>75</v>
      </c>
      <c r="H31" s="1" t="s">
        <v>76</v>
      </c>
      <c r="I31" s="1">
        <v>37491.35</v>
      </c>
    </row>
    <row r="32" spans="1:9" x14ac:dyDescent="0.45">
      <c r="A32" s="7">
        <v>10031</v>
      </c>
      <c r="B32" s="7"/>
      <c r="C32" s="1" t="s">
        <v>77</v>
      </c>
      <c r="D32" s="6">
        <v>27074</v>
      </c>
      <c r="E32" s="1" t="s">
        <v>22</v>
      </c>
      <c r="F32" s="6">
        <v>43449</v>
      </c>
      <c r="G32" s="1" t="s">
        <v>78</v>
      </c>
      <c r="H32" s="1" t="s">
        <v>76</v>
      </c>
      <c r="I32" s="1">
        <v>45601.74</v>
      </c>
    </row>
    <row r="33" spans="1:9" x14ac:dyDescent="0.45">
      <c r="A33" s="7">
        <v>10032</v>
      </c>
      <c r="B33" s="7"/>
      <c r="C33" s="1" t="s">
        <v>79</v>
      </c>
      <c r="D33" s="6">
        <v>37547</v>
      </c>
      <c r="E33" s="1" t="s">
        <v>22</v>
      </c>
      <c r="F33" s="6">
        <v>43940</v>
      </c>
      <c r="G33" s="1" t="s">
        <v>80</v>
      </c>
      <c r="H33" s="1" t="s">
        <v>76</v>
      </c>
      <c r="I33" s="1">
        <v>84455.63</v>
      </c>
    </row>
    <row r="34" spans="1:9" x14ac:dyDescent="0.45">
      <c r="A34" s="7">
        <v>10033</v>
      </c>
      <c r="B34" s="7"/>
      <c r="C34" s="1" t="s">
        <v>81</v>
      </c>
      <c r="D34" s="6">
        <v>29914</v>
      </c>
      <c r="E34" s="1" t="s">
        <v>16</v>
      </c>
      <c r="F34" s="6">
        <v>42781</v>
      </c>
      <c r="G34" s="1" t="s">
        <v>82</v>
      </c>
      <c r="H34" s="1" t="s">
        <v>35</v>
      </c>
      <c r="I34" s="1">
        <v>43555.21</v>
      </c>
    </row>
    <row r="35" spans="1:9" x14ac:dyDescent="0.45">
      <c r="A35" s="7">
        <v>10034</v>
      </c>
      <c r="B35" s="7"/>
      <c r="C35" s="1" t="s">
        <v>83</v>
      </c>
      <c r="D35" s="6">
        <v>37440</v>
      </c>
      <c r="E35" s="1" t="s">
        <v>16</v>
      </c>
      <c r="F35" s="6">
        <v>43435</v>
      </c>
      <c r="G35" s="1" t="s">
        <v>84</v>
      </c>
      <c r="H35" s="1" t="s">
        <v>18</v>
      </c>
      <c r="I35" s="1">
        <v>82622.559999999998</v>
      </c>
    </row>
    <row r="36" spans="1:9" x14ac:dyDescent="0.45">
      <c r="A36" s="7">
        <v>10035</v>
      </c>
      <c r="B36" s="7"/>
      <c r="C36" s="1" t="s">
        <v>85</v>
      </c>
      <c r="D36" s="6">
        <v>23861</v>
      </c>
      <c r="E36" s="1" t="s">
        <v>22</v>
      </c>
      <c r="F36" s="6">
        <v>43776</v>
      </c>
      <c r="G36" s="1" t="s">
        <v>86</v>
      </c>
      <c r="H36" s="1" t="s">
        <v>11</v>
      </c>
      <c r="I36" s="1">
        <v>53334.67</v>
      </c>
    </row>
    <row r="37" spans="1:9" x14ac:dyDescent="0.45">
      <c r="A37" s="7">
        <v>10036</v>
      </c>
      <c r="B37" s="7"/>
      <c r="C37" s="1" t="s">
        <v>87</v>
      </c>
      <c r="D37" s="6">
        <v>23666</v>
      </c>
      <c r="E37" s="1" t="s">
        <v>9</v>
      </c>
      <c r="F37" s="6">
        <v>45102</v>
      </c>
      <c r="G37" s="1" t="s">
        <v>88</v>
      </c>
      <c r="H37" s="1" t="s">
        <v>76</v>
      </c>
      <c r="I37" s="1">
        <v>56236.71</v>
      </c>
    </row>
    <row r="38" spans="1:9" x14ac:dyDescent="0.45">
      <c r="A38" s="7">
        <v>10037</v>
      </c>
      <c r="B38" s="7"/>
      <c r="C38" s="1" t="s">
        <v>89</v>
      </c>
      <c r="D38" s="6">
        <v>31515</v>
      </c>
      <c r="E38" s="1" t="s">
        <v>22</v>
      </c>
      <c r="F38" s="6">
        <v>45254</v>
      </c>
      <c r="G38" s="1" t="s">
        <v>90</v>
      </c>
      <c r="H38" s="1" t="s">
        <v>11</v>
      </c>
      <c r="I38" s="1">
        <v>81952.45</v>
      </c>
    </row>
    <row r="39" spans="1:9" x14ac:dyDescent="0.45">
      <c r="A39" s="7">
        <v>10038</v>
      </c>
      <c r="B39" s="7"/>
      <c r="C39" s="1" t="s">
        <v>91</v>
      </c>
      <c r="D39" s="6">
        <v>32414</v>
      </c>
      <c r="E39" s="1" t="s">
        <v>22</v>
      </c>
      <c r="F39" s="6">
        <v>45203</v>
      </c>
      <c r="G39" s="1" t="s">
        <v>92</v>
      </c>
      <c r="H39" s="1" t="s">
        <v>14</v>
      </c>
      <c r="I39" s="1">
        <v>36723.910000000003</v>
      </c>
    </row>
    <row r="40" spans="1:9" x14ac:dyDescent="0.45">
      <c r="A40" s="7">
        <v>10039</v>
      </c>
      <c r="B40" s="7"/>
      <c r="C40" s="1" t="s">
        <v>93</v>
      </c>
      <c r="D40" s="6">
        <v>30574</v>
      </c>
      <c r="E40" s="1" t="s">
        <v>22</v>
      </c>
      <c r="F40" s="6">
        <v>44095</v>
      </c>
      <c r="G40" s="1" t="s">
        <v>94</v>
      </c>
      <c r="H40" s="1" t="s">
        <v>28</v>
      </c>
      <c r="I40" s="1">
        <v>68815.649999999994</v>
      </c>
    </row>
    <row r="41" spans="1:9" x14ac:dyDescent="0.45">
      <c r="A41" s="7">
        <v>10040</v>
      </c>
      <c r="B41" s="7"/>
      <c r="C41" s="1" t="s">
        <v>95</v>
      </c>
      <c r="D41" s="6">
        <v>35473</v>
      </c>
      <c r="E41" s="1" t="s">
        <v>22</v>
      </c>
      <c r="F41" s="6">
        <v>44044</v>
      </c>
      <c r="G41" s="1" t="s">
        <v>96</v>
      </c>
      <c r="H41" s="1" t="s">
        <v>14</v>
      </c>
      <c r="I41" s="1">
        <v>75087.929999999993</v>
      </c>
    </row>
    <row r="42" spans="1:9" x14ac:dyDescent="0.45">
      <c r="A42" s="7">
        <v>10041</v>
      </c>
      <c r="B42" s="7"/>
      <c r="C42" s="1" t="s">
        <v>97</v>
      </c>
      <c r="D42" s="6">
        <v>24710</v>
      </c>
      <c r="E42" s="1" t="s">
        <v>16</v>
      </c>
      <c r="F42" s="6">
        <v>44919</v>
      </c>
      <c r="G42" s="1" t="s">
        <v>98</v>
      </c>
      <c r="H42" s="1" t="s">
        <v>11</v>
      </c>
      <c r="I42" s="1">
        <v>34317.83</v>
      </c>
    </row>
    <row r="43" spans="1:9" x14ac:dyDescent="0.45">
      <c r="A43" s="7">
        <v>10042</v>
      </c>
      <c r="B43" s="7"/>
      <c r="C43" s="1" t="s">
        <v>99</v>
      </c>
      <c r="D43" s="6">
        <v>37972</v>
      </c>
      <c r="E43" s="1" t="s">
        <v>16</v>
      </c>
      <c r="F43" s="6">
        <v>42388</v>
      </c>
      <c r="G43" s="1" t="s">
        <v>100</v>
      </c>
      <c r="H43" s="1" t="s">
        <v>14</v>
      </c>
      <c r="I43" s="1">
        <v>78892.88</v>
      </c>
    </row>
    <row r="44" spans="1:9" x14ac:dyDescent="0.45">
      <c r="A44" s="7">
        <v>10043</v>
      </c>
      <c r="B44" s="7"/>
      <c r="C44" s="1" t="s">
        <v>101</v>
      </c>
      <c r="D44" s="6">
        <v>36381</v>
      </c>
      <c r="E44" s="1" t="s">
        <v>9</v>
      </c>
      <c r="F44" s="6">
        <v>42144</v>
      </c>
      <c r="G44" s="1" t="s">
        <v>102</v>
      </c>
      <c r="H44" s="1" t="s">
        <v>14</v>
      </c>
      <c r="I44" s="1">
        <v>40476.400000000001</v>
      </c>
    </row>
    <row r="45" spans="1:9" x14ac:dyDescent="0.45">
      <c r="A45" s="7">
        <v>10044</v>
      </c>
      <c r="B45" s="7"/>
      <c r="C45" s="1" t="s">
        <v>103</v>
      </c>
      <c r="D45" s="6">
        <v>29484</v>
      </c>
      <c r="E45" s="1" t="s">
        <v>9</v>
      </c>
      <c r="F45" s="6">
        <v>42372</v>
      </c>
      <c r="G45" s="1" t="s">
        <v>104</v>
      </c>
      <c r="H45" s="1" t="s">
        <v>28</v>
      </c>
      <c r="I45" s="1">
        <v>38238.51</v>
      </c>
    </row>
    <row r="46" spans="1:9" x14ac:dyDescent="0.45">
      <c r="A46" s="7">
        <v>10045</v>
      </c>
      <c r="B46" s="7"/>
      <c r="C46" s="1" t="s">
        <v>105</v>
      </c>
      <c r="D46" s="6">
        <v>35985</v>
      </c>
      <c r="E46" s="1" t="s">
        <v>9</v>
      </c>
      <c r="F46" s="6">
        <v>43865</v>
      </c>
      <c r="G46" s="1" t="s">
        <v>106</v>
      </c>
      <c r="H46" s="1" t="s">
        <v>11</v>
      </c>
      <c r="I46" s="1">
        <v>81954.539999999994</v>
      </c>
    </row>
    <row r="47" spans="1:9" x14ac:dyDescent="0.45">
      <c r="A47" s="7">
        <v>10046</v>
      </c>
      <c r="B47" s="7"/>
      <c r="C47" s="1" t="s">
        <v>107</v>
      </c>
      <c r="D47" s="6">
        <v>33788</v>
      </c>
      <c r="E47" s="1" t="s">
        <v>9</v>
      </c>
      <c r="F47" s="6">
        <v>42279</v>
      </c>
      <c r="G47" s="1" t="s">
        <v>108</v>
      </c>
      <c r="H47" s="1" t="s">
        <v>11</v>
      </c>
      <c r="I47" s="1">
        <v>53832.63</v>
      </c>
    </row>
    <row r="48" spans="1:9" x14ac:dyDescent="0.45">
      <c r="A48" s="7">
        <v>10047</v>
      </c>
      <c r="B48" s="7"/>
      <c r="C48" s="1" t="s">
        <v>109</v>
      </c>
      <c r="D48" s="6">
        <v>32809</v>
      </c>
      <c r="E48" s="1" t="s">
        <v>16</v>
      </c>
      <c r="F48" s="6">
        <v>43663</v>
      </c>
      <c r="G48" s="1" t="s">
        <v>110</v>
      </c>
      <c r="H48" s="1" t="s">
        <v>14</v>
      </c>
      <c r="I48" s="1">
        <v>61312.91</v>
      </c>
    </row>
    <row r="49" spans="1:9" x14ac:dyDescent="0.45">
      <c r="A49" s="7">
        <v>10048</v>
      </c>
      <c r="B49" s="7"/>
      <c r="C49" s="1" t="s">
        <v>111</v>
      </c>
      <c r="D49" s="6">
        <v>34920</v>
      </c>
      <c r="E49" s="1" t="s">
        <v>16</v>
      </c>
      <c r="F49" s="6">
        <v>44215</v>
      </c>
      <c r="G49" s="1" t="s">
        <v>112</v>
      </c>
      <c r="H49" s="1" t="s">
        <v>76</v>
      </c>
      <c r="I49" s="1">
        <v>63864.89</v>
      </c>
    </row>
    <row r="50" spans="1:9" x14ac:dyDescent="0.45">
      <c r="A50" s="7">
        <v>10049</v>
      </c>
      <c r="B50" s="7"/>
      <c r="C50" s="1" t="s">
        <v>113</v>
      </c>
      <c r="D50" s="6">
        <v>22320</v>
      </c>
      <c r="E50" s="1" t="s">
        <v>16</v>
      </c>
      <c r="F50" s="6">
        <v>43241</v>
      </c>
      <c r="G50" s="1" t="s">
        <v>114</v>
      </c>
      <c r="H50" s="1" t="s">
        <v>35</v>
      </c>
      <c r="I50" s="1">
        <v>69233.37</v>
      </c>
    </row>
    <row r="51" spans="1:9" x14ac:dyDescent="0.45">
      <c r="A51" s="7">
        <v>10050</v>
      </c>
      <c r="B51" s="7"/>
      <c r="C51" s="1" t="s">
        <v>115</v>
      </c>
      <c r="D51" s="6">
        <v>22660</v>
      </c>
      <c r="E51" s="1" t="s">
        <v>22</v>
      </c>
      <c r="F51" s="6">
        <v>42684</v>
      </c>
      <c r="G51" s="1" t="s">
        <v>116</v>
      </c>
      <c r="H51" s="1" t="s">
        <v>76</v>
      </c>
      <c r="I51" s="1">
        <v>70762.149999999994</v>
      </c>
    </row>
    <row r="52" spans="1:9" x14ac:dyDescent="0.45">
      <c r="A52" s="7">
        <v>10051</v>
      </c>
      <c r="B52" s="7"/>
      <c r="C52" s="1" t="s">
        <v>117</v>
      </c>
      <c r="D52" s="6">
        <v>32868</v>
      </c>
      <c r="E52" s="1" t="s">
        <v>9</v>
      </c>
      <c r="F52" s="6">
        <v>41809</v>
      </c>
      <c r="G52" s="1" t="s">
        <v>118</v>
      </c>
      <c r="H52" s="1" t="s">
        <v>76</v>
      </c>
      <c r="I52" s="1">
        <v>44450.6</v>
      </c>
    </row>
    <row r="53" spans="1:9" x14ac:dyDescent="0.45">
      <c r="A53" s="7">
        <v>10052</v>
      </c>
      <c r="B53" s="7"/>
      <c r="C53" s="1" t="s">
        <v>119</v>
      </c>
      <c r="D53" s="6">
        <v>35476</v>
      </c>
      <c r="E53" s="1" t="s">
        <v>16</v>
      </c>
      <c r="F53" s="6">
        <v>43196</v>
      </c>
      <c r="G53" s="1" t="s">
        <v>120</v>
      </c>
      <c r="H53" s="1" t="s">
        <v>76</v>
      </c>
      <c r="I53" s="1">
        <v>40451.919999999998</v>
      </c>
    </row>
    <row r="54" spans="1:9" x14ac:dyDescent="0.45">
      <c r="A54" s="7">
        <v>10053</v>
      </c>
      <c r="B54" s="7"/>
      <c r="C54" s="1" t="s">
        <v>121</v>
      </c>
      <c r="D54" s="6">
        <v>24409</v>
      </c>
      <c r="E54" s="1" t="s">
        <v>9</v>
      </c>
      <c r="F54" s="6">
        <v>42885</v>
      </c>
      <c r="G54" s="1" t="s">
        <v>122</v>
      </c>
      <c r="H54" s="1" t="s">
        <v>18</v>
      </c>
      <c r="I54" s="1">
        <v>90782.77</v>
      </c>
    </row>
    <row r="55" spans="1:9" x14ac:dyDescent="0.45">
      <c r="A55" s="7">
        <v>10054</v>
      </c>
      <c r="B55" s="7"/>
      <c r="C55" s="1" t="s">
        <v>123</v>
      </c>
      <c r="D55" s="6">
        <v>31187</v>
      </c>
      <c r="E55" s="1" t="s">
        <v>22</v>
      </c>
      <c r="F55" s="6">
        <v>43029</v>
      </c>
      <c r="G55" s="1" t="s">
        <v>124</v>
      </c>
      <c r="H55" s="1" t="s">
        <v>14</v>
      </c>
      <c r="I55" s="1">
        <v>52263.38</v>
      </c>
    </row>
    <row r="56" spans="1:9" x14ac:dyDescent="0.45">
      <c r="A56" s="7">
        <v>10055</v>
      </c>
      <c r="B56" s="7"/>
      <c r="C56" s="1" t="s">
        <v>125</v>
      </c>
      <c r="D56" s="6">
        <v>30735</v>
      </c>
      <c r="E56" s="1" t="s">
        <v>22</v>
      </c>
      <c r="F56" s="6">
        <v>43187</v>
      </c>
      <c r="G56" s="1" t="s">
        <v>126</v>
      </c>
      <c r="H56" s="1" t="s">
        <v>35</v>
      </c>
      <c r="I56" s="1">
        <v>59026.93</v>
      </c>
    </row>
    <row r="57" spans="1:9" x14ac:dyDescent="0.45">
      <c r="A57" s="7">
        <v>10056</v>
      </c>
      <c r="B57" s="7"/>
      <c r="C57" s="1" t="s">
        <v>127</v>
      </c>
      <c r="D57" s="6">
        <v>30516</v>
      </c>
      <c r="E57" s="1" t="s">
        <v>9</v>
      </c>
      <c r="F57" s="6">
        <v>43721</v>
      </c>
      <c r="G57" s="1" t="s">
        <v>128</v>
      </c>
      <c r="H57" s="1" t="s">
        <v>18</v>
      </c>
      <c r="I57" s="1">
        <v>33951.47</v>
      </c>
    </row>
    <row r="58" spans="1:9" x14ac:dyDescent="0.45">
      <c r="A58" s="7">
        <v>10057</v>
      </c>
      <c r="B58" s="7"/>
      <c r="C58" s="1" t="s">
        <v>129</v>
      </c>
      <c r="D58" s="6">
        <v>37704</v>
      </c>
      <c r="E58" s="1" t="s">
        <v>22</v>
      </c>
      <c r="F58" s="6">
        <v>44241</v>
      </c>
      <c r="G58" s="1" t="s">
        <v>130</v>
      </c>
      <c r="H58" s="1" t="s">
        <v>76</v>
      </c>
      <c r="I58" s="1">
        <v>40408.58</v>
      </c>
    </row>
    <row r="59" spans="1:9" x14ac:dyDescent="0.45">
      <c r="A59" s="7">
        <v>10058</v>
      </c>
      <c r="B59" s="7"/>
      <c r="C59" s="1" t="s">
        <v>131</v>
      </c>
      <c r="D59" s="6">
        <v>30901</v>
      </c>
      <c r="E59" s="1" t="s">
        <v>16</v>
      </c>
      <c r="F59" s="6">
        <v>44595</v>
      </c>
      <c r="G59" s="1" t="s">
        <v>132</v>
      </c>
      <c r="H59" s="1" t="s">
        <v>18</v>
      </c>
      <c r="I59" s="1">
        <v>59586.879999999997</v>
      </c>
    </row>
    <row r="60" spans="1:9" x14ac:dyDescent="0.45">
      <c r="A60" s="7">
        <v>10059</v>
      </c>
      <c r="B60" s="7"/>
      <c r="C60" s="1" t="s">
        <v>133</v>
      </c>
      <c r="D60" s="6">
        <v>23972</v>
      </c>
      <c r="E60" s="1" t="s">
        <v>9</v>
      </c>
      <c r="F60" s="6">
        <v>44678</v>
      </c>
      <c r="G60" s="1" t="s">
        <v>134</v>
      </c>
      <c r="H60" s="1" t="s">
        <v>11</v>
      </c>
      <c r="I60" s="1">
        <v>38941.629999999997</v>
      </c>
    </row>
    <row r="61" spans="1:9" x14ac:dyDescent="0.45">
      <c r="A61" s="7">
        <v>10060</v>
      </c>
      <c r="B61" s="7"/>
      <c r="C61" s="1" t="s">
        <v>135</v>
      </c>
      <c r="D61" s="6">
        <v>31649</v>
      </c>
      <c r="E61" s="1" t="s">
        <v>22</v>
      </c>
      <c r="F61" s="6">
        <v>41855</v>
      </c>
      <c r="G61" s="1" t="s">
        <v>136</v>
      </c>
      <c r="H61" s="1" t="s">
        <v>14</v>
      </c>
      <c r="I61" s="1">
        <v>74975.320000000007</v>
      </c>
    </row>
    <row r="62" spans="1:9" x14ac:dyDescent="0.45">
      <c r="A62" s="7">
        <v>10061</v>
      </c>
      <c r="B62" s="7"/>
      <c r="C62" s="1" t="s">
        <v>137</v>
      </c>
      <c r="D62" s="6">
        <v>38507</v>
      </c>
      <c r="E62" s="1" t="s">
        <v>16</v>
      </c>
      <c r="F62" s="6">
        <v>42242</v>
      </c>
      <c r="G62" s="1" t="s">
        <v>138</v>
      </c>
      <c r="H62" s="1" t="s">
        <v>76</v>
      </c>
      <c r="I62" s="1">
        <v>32010.06</v>
      </c>
    </row>
    <row r="63" spans="1:9" x14ac:dyDescent="0.45">
      <c r="A63" s="7">
        <v>10062</v>
      </c>
      <c r="B63" s="7"/>
      <c r="C63" s="1" t="s">
        <v>139</v>
      </c>
      <c r="D63" s="6">
        <v>26795</v>
      </c>
      <c r="E63" s="1" t="s">
        <v>22</v>
      </c>
      <c r="F63" s="6">
        <v>44127</v>
      </c>
      <c r="G63" s="1" t="s">
        <v>140</v>
      </c>
      <c r="H63" s="1" t="s">
        <v>28</v>
      </c>
      <c r="I63" s="1">
        <v>82227.88</v>
      </c>
    </row>
    <row r="64" spans="1:9" x14ac:dyDescent="0.45">
      <c r="A64" s="7">
        <v>10063</v>
      </c>
      <c r="B64" s="7"/>
      <c r="C64" s="1" t="s">
        <v>141</v>
      </c>
      <c r="D64" s="6">
        <v>29976</v>
      </c>
      <c r="E64" s="1" t="s">
        <v>9</v>
      </c>
      <c r="F64" s="6">
        <v>45230</v>
      </c>
      <c r="G64" s="1" t="s">
        <v>142</v>
      </c>
      <c r="H64" s="1" t="s">
        <v>28</v>
      </c>
      <c r="I64" s="1">
        <v>68548.320000000007</v>
      </c>
    </row>
    <row r="65" spans="1:9" x14ac:dyDescent="0.45">
      <c r="A65" s="7">
        <v>10064</v>
      </c>
      <c r="B65" s="7"/>
      <c r="C65" s="1" t="s">
        <v>143</v>
      </c>
      <c r="D65" s="6">
        <v>22298</v>
      </c>
      <c r="E65" s="1" t="s">
        <v>9</v>
      </c>
      <c r="F65" s="6">
        <v>43390</v>
      </c>
      <c r="G65" s="1" t="s">
        <v>144</v>
      </c>
      <c r="H65" s="1" t="s">
        <v>18</v>
      </c>
      <c r="I65" s="1">
        <v>46907.02</v>
      </c>
    </row>
    <row r="66" spans="1:9" x14ac:dyDescent="0.45">
      <c r="A66" s="7">
        <v>10065</v>
      </c>
      <c r="B66" s="7"/>
      <c r="C66" s="1" t="s">
        <v>145</v>
      </c>
      <c r="D66" s="6">
        <v>26717</v>
      </c>
      <c r="E66" s="1" t="s">
        <v>16</v>
      </c>
      <c r="F66" s="6">
        <v>44700</v>
      </c>
      <c r="G66" s="1" t="s">
        <v>146</v>
      </c>
      <c r="H66" s="1" t="s">
        <v>76</v>
      </c>
      <c r="I66" s="1">
        <v>84632.19</v>
      </c>
    </row>
    <row r="67" spans="1:9" x14ac:dyDescent="0.45">
      <c r="A67" s="7">
        <v>10066</v>
      </c>
      <c r="B67" s="7"/>
      <c r="C67" s="1" t="s">
        <v>147</v>
      </c>
      <c r="D67" s="6">
        <v>31878</v>
      </c>
      <c r="E67" s="1" t="s">
        <v>16</v>
      </c>
      <c r="F67" s="6">
        <v>42333</v>
      </c>
      <c r="G67" s="1" t="s">
        <v>148</v>
      </c>
      <c r="H67" s="1" t="s">
        <v>28</v>
      </c>
      <c r="I67" s="1">
        <v>41409.57</v>
      </c>
    </row>
    <row r="68" spans="1:9" x14ac:dyDescent="0.45">
      <c r="A68" s="7">
        <v>10067</v>
      </c>
      <c r="B68" s="7"/>
      <c r="C68" s="1" t="s">
        <v>149</v>
      </c>
      <c r="D68" s="6">
        <v>33701</v>
      </c>
      <c r="E68" s="1" t="s">
        <v>22</v>
      </c>
      <c r="F68" s="6">
        <v>43992</v>
      </c>
      <c r="G68" s="1" t="s">
        <v>150</v>
      </c>
      <c r="H68" s="1" t="s">
        <v>11</v>
      </c>
      <c r="I68" s="1">
        <v>51542.61</v>
      </c>
    </row>
    <row r="69" spans="1:9" x14ac:dyDescent="0.45">
      <c r="A69" s="7">
        <v>10068</v>
      </c>
      <c r="B69" s="7"/>
      <c r="C69" s="1" t="s">
        <v>151</v>
      </c>
      <c r="D69" s="6">
        <v>30717</v>
      </c>
      <c r="E69" s="1" t="s">
        <v>9</v>
      </c>
      <c r="F69" s="6">
        <v>41746</v>
      </c>
      <c r="G69" s="1" t="s">
        <v>152</v>
      </c>
      <c r="H69" s="1" t="s">
        <v>28</v>
      </c>
      <c r="I69" s="1">
        <v>82455.09</v>
      </c>
    </row>
    <row r="70" spans="1:9" x14ac:dyDescent="0.45">
      <c r="A70" s="7">
        <v>10069</v>
      </c>
      <c r="B70" s="7"/>
      <c r="C70" s="1" t="s">
        <v>153</v>
      </c>
      <c r="D70" s="6">
        <v>24487</v>
      </c>
      <c r="E70" s="1" t="s">
        <v>9</v>
      </c>
      <c r="F70" s="6">
        <v>43416</v>
      </c>
      <c r="G70" s="1" t="s">
        <v>154</v>
      </c>
      <c r="H70" s="1" t="s">
        <v>35</v>
      </c>
      <c r="I70" s="1">
        <v>94325.19</v>
      </c>
    </row>
    <row r="71" spans="1:9" x14ac:dyDescent="0.45">
      <c r="A71" s="7">
        <v>10070</v>
      </c>
      <c r="B71" s="7"/>
      <c r="C71" s="1" t="s">
        <v>155</v>
      </c>
      <c r="D71" s="6">
        <v>35505</v>
      </c>
      <c r="E71" s="1" t="s">
        <v>9</v>
      </c>
      <c r="F71" s="6">
        <v>44580</v>
      </c>
      <c r="G71" s="1" t="s">
        <v>156</v>
      </c>
      <c r="H71" s="1" t="s">
        <v>18</v>
      </c>
      <c r="I71" s="1">
        <v>92164.51</v>
      </c>
    </row>
    <row r="72" spans="1:9" x14ac:dyDescent="0.45">
      <c r="A72" s="7">
        <v>10071</v>
      </c>
      <c r="B72" s="7"/>
      <c r="C72" s="1" t="s">
        <v>157</v>
      </c>
      <c r="D72" s="6">
        <v>31506</v>
      </c>
      <c r="E72" s="1" t="s">
        <v>9</v>
      </c>
      <c r="F72" s="6">
        <v>45364</v>
      </c>
      <c r="G72" s="1" t="s">
        <v>158</v>
      </c>
      <c r="H72" s="1" t="s">
        <v>28</v>
      </c>
      <c r="I72" s="1">
        <v>40388.42</v>
      </c>
    </row>
    <row r="73" spans="1:9" x14ac:dyDescent="0.45">
      <c r="A73" s="7">
        <v>10072</v>
      </c>
      <c r="B73" s="7"/>
      <c r="C73" s="1" t="s">
        <v>159</v>
      </c>
      <c r="D73" s="6">
        <v>35475</v>
      </c>
      <c r="E73" s="1" t="s">
        <v>22</v>
      </c>
      <c r="F73" s="6">
        <v>44843</v>
      </c>
      <c r="G73" s="1" t="s">
        <v>160</v>
      </c>
      <c r="H73" s="1" t="s">
        <v>35</v>
      </c>
      <c r="I73" s="1">
        <v>91275.85</v>
      </c>
    </row>
    <row r="74" spans="1:9" x14ac:dyDescent="0.45">
      <c r="A74" s="7">
        <v>10073</v>
      </c>
      <c r="B74" s="7"/>
      <c r="C74" s="1" t="s">
        <v>161</v>
      </c>
      <c r="D74" s="6">
        <v>24844</v>
      </c>
      <c r="E74" s="1" t="s">
        <v>9</v>
      </c>
      <c r="F74" s="6">
        <v>43558</v>
      </c>
      <c r="G74" s="1" t="s">
        <v>162</v>
      </c>
      <c r="H74" s="1" t="s">
        <v>28</v>
      </c>
      <c r="I74" s="1">
        <v>64760.74</v>
      </c>
    </row>
    <row r="75" spans="1:9" x14ac:dyDescent="0.45">
      <c r="A75" s="7">
        <v>10074</v>
      </c>
      <c r="B75" s="7"/>
      <c r="C75" s="1" t="s">
        <v>163</v>
      </c>
      <c r="D75" s="6">
        <v>24557</v>
      </c>
      <c r="E75" s="1" t="s">
        <v>16</v>
      </c>
      <c r="F75" s="6">
        <v>45098</v>
      </c>
      <c r="G75" s="1" t="s">
        <v>164</v>
      </c>
      <c r="H75" s="1" t="s">
        <v>28</v>
      </c>
      <c r="I75" s="1">
        <v>83798.59</v>
      </c>
    </row>
    <row r="76" spans="1:9" x14ac:dyDescent="0.45">
      <c r="A76" s="7">
        <v>10075</v>
      </c>
      <c r="B76" s="7"/>
      <c r="C76" s="1" t="s">
        <v>165</v>
      </c>
      <c r="D76" s="6">
        <v>36265</v>
      </c>
      <c r="E76" s="1" t="s">
        <v>9</v>
      </c>
      <c r="F76" s="6">
        <v>41978</v>
      </c>
      <c r="G76" s="1" t="s">
        <v>166</v>
      </c>
      <c r="H76" s="1" t="s">
        <v>11</v>
      </c>
      <c r="I76" s="1">
        <v>51287.57</v>
      </c>
    </row>
    <row r="77" spans="1:9" x14ac:dyDescent="0.45">
      <c r="A77" s="7">
        <v>10076</v>
      </c>
      <c r="B77" s="7"/>
      <c r="C77" s="1" t="s">
        <v>167</v>
      </c>
      <c r="D77" s="6">
        <v>25158</v>
      </c>
      <c r="E77" s="1" t="s">
        <v>9</v>
      </c>
      <c r="F77" s="6">
        <v>41988</v>
      </c>
      <c r="G77" s="1" t="s">
        <v>168</v>
      </c>
      <c r="H77" s="1" t="s">
        <v>11</v>
      </c>
      <c r="I77" s="1">
        <v>64066.57</v>
      </c>
    </row>
    <row r="78" spans="1:9" x14ac:dyDescent="0.45">
      <c r="A78" s="7">
        <v>10077</v>
      </c>
      <c r="B78" s="7"/>
      <c r="C78" s="1" t="s">
        <v>169</v>
      </c>
      <c r="D78" s="6">
        <v>33728</v>
      </c>
      <c r="E78" s="1" t="s">
        <v>22</v>
      </c>
      <c r="F78" s="6">
        <v>42973</v>
      </c>
      <c r="G78" s="1" t="s">
        <v>170</v>
      </c>
      <c r="H78" s="1" t="s">
        <v>18</v>
      </c>
      <c r="I78" s="1">
        <v>79760.149999999994</v>
      </c>
    </row>
    <row r="79" spans="1:9" x14ac:dyDescent="0.45">
      <c r="A79" s="7">
        <v>10078</v>
      </c>
      <c r="B79" s="7"/>
      <c r="C79" s="1" t="s">
        <v>171</v>
      </c>
      <c r="D79" s="6">
        <v>21988</v>
      </c>
      <c r="E79" s="1" t="s">
        <v>16</v>
      </c>
      <c r="F79" s="6">
        <v>43147</v>
      </c>
      <c r="G79" s="1" t="s">
        <v>172</v>
      </c>
      <c r="H79" s="1" t="s">
        <v>35</v>
      </c>
      <c r="I79" s="1">
        <v>71236.69</v>
      </c>
    </row>
    <row r="80" spans="1:9" x14ac:dyDescent="0.45">
      <c r="A80" s="7">
        <v>10079</v>
      </c>
      <c r="B80" s="7"/>
      <c r="C80" s="1" t="s">
        <v>173</v>
      </c>
      <c r="D80" s="6">
        <v>32150</v>
      </c>
      <c r="E80" s="1" t="s">
        <v>22</v>
      </c>
      <c r="F80" s="6">
        <v>42674</v>
      </c>
      <c r="G80" s="1" t="s">
        <v>174</v>
      </c>
      <c r="H80" s="1" t="s">
        <v>76</v>
      </c>
      <c r="I80" s="1">
        <v>70585.53</v>
      </c>
    </row>
    <row r="81" spans="1:9" x14ac:dyDescent="0.45">
      <c r="A81" s="7">
        <v>10080</v>
      </c>
      <c r="B81" s="7"/>
      <c r="C81" s="1" t="s">
        <v>175</v>
      </c>
      <c r="D81" s="6">
        <v>22818</v>
      </c>
      <c r="E81" s="1" t="s">
        <v>9</v>
      </c>
      <c r="F81" s="6">
        <v>43572</v>
      </c>
      <c r="G81" s="1" t="s">
        <v>176</v>
      </c>
      <c r="H81" s="1" t="s">
        <v>28</v>
      </c>
      <c r="I81" s="1">
        <v>77124.92</v>
      </c>
    </row>
    <row r="82" spans="1:9" x14ac:dyDescent="0.45">
      <c r="A82" s="7">
        <v>10081</v>
      </c>
      <c r="B82" s="7"/>
      <c r="C82" s="1" t="s">
        <v>177</v>
      </c>
      <c r="D82" s="6">
        <v>28803</v>
      </c>
      <c r="E82" s="1" t="s">
        <v>22</v>
      </c>
      <c r="F82" s="6">
        <v>43205</v>
      </c>
      <c r="G82" s="1" t="s">
        <v>178</v>
      </c>
      <c r="H82" s="1" t="s">
        <v>14</v>
      </c>
      <c r="I82" s="1">
        <v>97806.89</v>
      </c>
    </row>
    <row r="83" spans="1:9" x14ac:dyDescent="0.45">
      <c r="A83" s="7">
        <v>10082</v>
      </c>
      <c r="B83" s="7"/>
      <c r="C83" s="1" t="s">
        <v>179</v>
      </c>
      <c r="D83" s="6">
        <v>38034</v>
      </c>
      <c r="E83" s="1" t="s">
        <v>9</v>
      </c>
      <c r="F83" s="6">
        <v>43738</v>
      </c>
      <c r="G83" s="1" t="s">
        <v>180</v>
      </c>
      <c r="H83" s="1" t="s">
        <v>28</v>
      </c>
      <c r="I83" s="1">
        <v>58386.22</v>
      </c>
    </row>
    <row r="84" spans="1:9" x14ac:dyDescent="0.45">
      <c r="A84" s="7">
        <v>10083</v>
      </c>
      <c r="B84" s="7"/>
      <c r="C84" s="1" t="s">
        <v>181</v>
      </c>
      <c r="D84" s="6">
        <v>34768</v>
      </c>
      <c r="E84" s="1" t="s">
        <v>22</v>
      </c>
      <c r="F84" s="6">
        <v>45308</v>
      </c>
      <c r="G84" s="1" t="s">
        <v>182</v>
      </c>
      <c r="H84" s="1" t="s">
        <v>11</v>
      </c>
      <c r="I84" s="1">
        <v>39439.79</v>
      </c>
    </row>
    <row r="85" spans="1:9" x14ac:dyDescent="0.45">
      <c r="A85" s="7">
        <v>10084</v>
      </c>
      <c r="B85" s="7"/>
      <c r="C85" s="1" t="s">
        <v>183</v>
      </c>
      <c r="D85" s="6">
        <v>25687</v>
      </c>
      <c r="E85" s="1" t="s">
        <v>22</v>
      </c>
      <c r="F85" s="6">
        <v>43264</v>
      </c>
      <c r="G85" s="1" t="s">
        <v>184</v>
      </c>
      <c r="H85" s="1" t="s">
        <v>35</v>
      </c>
      <c r="I85" s="1">
        <v>84093.78</v>
      </c>
    </row>
    <row r="86" spans="1:9" x14ac:dyDescent="0.45">
      <c r="A86" s="7">
        <v>10085</v>
      </c>
      <c r="B86" s="7"/>
      <c r="C86" s="1" t="s">
        <v>185</v>
      </c>
      <c r="D86" s="6">
        <v>25904</v>
      </c>
      <c r="E86" s="1" t="s">
        <v>16</v>
      </c>
      <c r="F86" s="6">
        <v>44009</v>
      </c>
      <c r="G86" s="1" t="s">
        <v>186</v>
      </c>
      <c r="H86" s="1" t="s">
        <v>35</v>
      </c>
      <c r="I86" s="1">
        <v>48839.82</v>
      </c>
    </row>
    <row r="87" spans="1:9" x14ac:dyDescent="0.45">
      <c r="A87" s="7">
        <v>10086</v>
      </c>
      <c r="B87" s="7"/>
      <c r="C87" s="1" t="s">
        <v>187</v>
      </c>
      <c r="D87" s="6">
        <v>21502</v>
      </c>
      <c r="E87" s="1" t="s">
        <v>16</v>
      </c>
      <c r="F87" s="6">
        <v>43411</v>
      </c>
      <c r="G87" s="1" t="s">
        <v>188</v>
      </c>
      <c r="H87" s="1" t="s">
        <v>14</v>
      </c>
      <c r="I87" s="1">
        <v>47003.15</v>
      </c>
    </row>
    <row r="88" spans="1:9" x14ac:dyDescent="0.45">
      <c r="A88" s="7">
        <v>10087</v>
      </c>
      <c r="B88" s="7"/>
      <c r="C88" s="1" t="s">
        <v>189</v>
      </c>
      <c r="D88" s="6">
        <v>31159</v>
      </c>
      <c r="E88" s="1" t="s">
        <v>9</v>
      </c>
      <c r="F88" s="6">
        <v>44739</v>
      </c>
      <c r="G88" s="1" t="s">
        <v>190</v>
      </c>
      <c r="H88" s="1" t="s">
        <v>18</v>
      </c>
      <c r="I88" s="1">
        <v>93264</v>
      </c>
    </row>
    <row r="89" spans="1:9" x14ac:dyDescent="0.45">
      <c r="A89" s="7">
        <v>10088</v>
      </c>
      <c r="B89" s="7"/>
      <c r="C89" s="1" t="s">
        <v>191</v>
      </c>
      <c r="D89" s="6">
        <v>24744</v>
      </c>
      <c r="E89" s="1" t="s">
        <v>16</v>
      </c>
      <c r="F89" s="6">
        <v>41881</v>
      </c>
      <c r="G89" s="1" t="s">
        <v>192</v>
      </c>
      <c r="H89" s="1" t="s">
        <v>11</v>
      </c>
      <c r="I89" s="1">
        <v>76398.3</v>
      </c>
    </row>
    <row r="90" spans="1:9" x14ac:dyDescent="0.45">
      <c r="A90" s="7">
        <v>10089</v>
      </c>
      <c r="B90" s="7"/>
      <c r="C90" s="1" t="s">
        <v>193</v>
      </c>
      <c r="D90" s="6">
        <v>33084</v>
      </c>
      <c r="E90" s="1" t="s">
        <v>9</v>
      </c>
      <c r="F90" s="6">
        <v>43399</v>
      </c>
      <c r="G90" s="1" t="s">
        <v>194</v>
      </c>
      <c r="H90" s="1" t="s">
        <v>76</v>
      </c>
      <c r="I90" s="1">
        <v>87605.27</v>
      </c>
    </row>
    <row r="91" spans="1:9" x14ac:dyDescent="0.45">
      <c r="A91" s="7">
        <v>10090</v>
      </c>
      <c r="B91" s="7"/>
      <c r="C91" s="1" t="s">
        <v>195</v>
      </c>
      <c r="D91" s="6">
        <v>24583</v>
      </c>
      <c r="E91" s="1" t="s">
        <v>22</v>
      </c>
      <c r="F91" s="6">
        <v>43001</v>
      </c>
      <c r="G91" s="1" t="s">
        <v>196</v>
      </c>
      <c r="H91" s="1" t="s">
        <v>11</v>
      </c>
      <c r="I91" s="1">
        <v>80964.33</v>
      </c>
    </row>
    <row r="92" spans="1:9" x14ac:dyDescent="0.45">
      <c r="A92" s="7">
        <v>10091</v>
      </c>
      <c r="B92" s="7"/>
      <c r="C92" s="1" t="s">
        <v>197</v>
      </c>
      <c r="D92" s="6">
        <v>22269</v>
      </c>
      <c r="E92" s="1" t="s">
        <v>9</v>
      </c>
      <c r="F92" s="6">
        <v>43142</v>
      </c>
      <c r="G92" s="1" t="s">
        <v>198</v>
      </c>
      <c r="H92" s="1" t="s">
        <v>11</v>
      </c>
      <c r="I92" s="1">
        <v>66963.539999999994</v>
      </c>
    </row>
    <row r="93" spans="1:9" x14ac:dyDescent="0.45">
      <c r="A93" s="7">
        <v>10092</v>
      </c>
      <c r="B93" s="7"/>
      <c r="C93" s="1" t="s">
        <v>199</v>
      </c>
      <c r="D93" s="6">
        <v>30414</v>
      </c>
      <c r="E93" s="1" t="s">
        <v>22</v>
      </c>
      <c r="F93" s="6">
        <v>43351</v>
      </c>
      <c r="G93" s="1" t="s">
        <v>200</v>
      </c>
      <c r="H93" s="1" t="s">
        <v>14</v>
      </c>
      <c r="I93" s="1">
        <v>87401.17</v>
      </c>
    </row>
    <row r="94" spans="1:9" x14ac:dyDescent="0.45">
      <c r="A94" s="7">
        <v>10093</v>
      </c>
      <c r="B94" s="7"/>
      <c r="C94" s="1" t="s">
        <v>201</v>
      </c>
      <c r="D94" s="6">
        <v>36026</v>
      </c>
      <c r="E94" s="1" t="s">
        <v>22</v>
      </c>
      <c r="F94" s="6">
        <v>42701</v>
      </c>
      <c r="G94" s="1" t="s">
        <v>202</v>
      </c>
      <c r="H94" s="1" t="s">
        <v>14</v>
      </c>
      <c r="I94" s="1">
        <v>43850.74</v>
      </c>
    </row>
    <row r="95" spans="1:9" x14ac:dyDescent="0.45">
      <c r="A95" s="7">
        <v>10094</v>
      </c>
      <c r="B95" s="7"/>
      <c r="C95" s="1" t="s">
        <v>203</v>
      </c>
      <c r="D95" s="6">
        <v>35114</v>
      </c>
      <c r="E95" s="1" t="s">
        <v>16</v>
      </c>
      <c r="F95" s="6">
        <v>42075</v>
      </c>
      <c r="G95" s="1" t="s">
        <v>204</v>
      </c>
      <c r="H95" s="1" t="s">
        <v>35</v>
      </c>
      <c r="I95" s="1">
        <v>45964.9</v>
      </c>
    </row>
    <row r="96" spans="1:9" x14ac:dyDescent="0.45">
      <c r="A96" s="7">
        <v>10095</v>
      </c>
      <c r="B96" s="7"/>
      <c r="C96" s="1" t="s">
        <v>205</v>
      </c>
      <c r="D96" s="6">
        <v>24645</v>
      </c>
      <c r="E96" s="1" t="s">
        <v>9</v>
      </c>
      <c r="F96" s="6">
        <v>42664</v>
      </c>
      <c r="G96" s="1" t="s">
        <v>206</v>
      </c>
      <c r="H96" s="1" t="s">
        <v>14</v>
      </c>
      <c r="I96" s="1">
        <v>99540.31</v>
      </c>
    </row>
    <row r="97" spans="1:9" x14ac:dyDescent="0.45">
      <c r="A97" s="7">
        <v>10096</v>
      </c>
      <c r="B97" s="7"/>
      <c r="C97" s="1" t="s">
        <v>207</v>
      </c>
      <c r="D97" s="6">
        <v>28850</v>
      </c>
      <c r="E97" s="1" t="s">
        <v>9</v>
      </c>
      <c r="F97" s="6">
        <v>42876</v>
      </c>
      <c r="G97" s="1" t="s">
        <v>208</v>
      </c>
      <c r="H97" s="1" t="s">
        <v>14</v>
      </c>
      <c r="I97" s="1">
        <v>55639.91</v>
      </c>
    </row>
    <row r="98" spans="1:9" x14ac:dyDescent="0.45">
      <c r="A98" s="7">
        <v>10097</v>
      </c>
      <c r="B98" s="7"/>
      <c r="C98" s="1" t="s">
        <v>209</v>
      </c>
      <c r="D98" s="6">
        <v>25240</v>
      </c>
      <c r="E98" s="1" t="s">
        <v>9</v>
      </c>
      <c r="F98" s="6">
        <v>44017</v>
      </c>
      <c r="G98" s="1" t="s">
        <v>210</v>
      </c>
      <c r="H98" s="1" t="s">
        <v>18</v>
      </c>
      <c r="I98" s="1">
        <v>74476.429999999993</v>
      </c>
    </row>
    <row r="99" spans="1:9" x14ac:dyDescent="0.45">
      <c r="A99" s="7">
        <v>10098</v>
      </c>
      <c r="B99" s="7"/>
      <c r="C99" s="1" t="s">
        <v>211</v>
      </c>
      <c r="D99" s="6">
        <v>27395</v>
      </c>
      <c r="E99" s="1" t="s">
        <v>9</v>
      </c>
      <c r="F99" s="6">
        <v>45307</v>
      </c>
      <c r="G99" s="1" t="s">
        <v>212</v>
      </c>
      <c r="H99" s="1" t="s">
        <v>76</v>
      </c>
      <c r="I99" s="1">
        <v>58543.02</v>
      </c>
    </row>
    <row r="100" spans="1:9" x14ac:dyDescent="0.45">
      <c r="A100" s="7">
        <v>10099</v>
      </c>
      <c r="B100" s="7"/>
      <c r="C100" s="1" t="s">
        <v>213</v>
      </c>
      <c r="D100" s="6">
        <v>23811</v>
      </c>
      <c r="E100" s="1" t="s">
        <v>16</v>
      </c>
      <c r="F100" s="6">
        <v>44895</v>
      </c>
      <c r="G100" s="1" t="s">
        <v>214</v>
      </c>
      <c r="H100" s="1" t="s">
        <v>11</v>
      </c>
      <c r="I100" s="1">
        <v>55186.59</v>
      </c>
    </row>
    <row r="101" spans="1:9" x14ac:dyDescent="0.45">
      <c r="A101" s="7">
        <v>10100</v>
      </c>
      <c r="B101" s="7"/>
      <c r="C101" s="1" t="s">
        <v>215</v>
      </c>
      <c r="D101" s="6">
        <v>38582</v>
      </c>
      <c r="E101" s="1" t="s">
        <v>9</v>
      </c>
      <c r="F101" s="6">
        <v>43185</v>
      </c>
      <c r="G101" s="1" t="s">
        <v>216</v>
      </c>
      <c r="H101" s="1" t="s">
        <v>18</v>
      </c>
      <c r="I101" s="1">
        <v>87297.279999999999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9B602-A0FE-4DDA-A66D-BCB2CE6EF2D5}">
  <sheetPr codeName="Sheet2"/>
  <dimension ref="A1:F11"/>
  <sheetViews>
    <sheetView workbookViewId="0">
      <selection sqref="A1:A11"/>
    </sheetView>
  </sheetViews>
  <sheetFormatPr defaultRowHeight="14.25" x14ac:dyDescent="0.45"/>
  <cols>
    <col min="1" max="1" width="18.6640625" customWidth="1"/>
    <col min="2" max="2" width="20.53125" customWidth="1"/>
  </cols>
  <sheetData>
    <row r="1" spans="1:6" x14ac:dyDescent="0.45">
      <c r="A1" s="9" t="str">
        <f>TEXT(C1,"#####")</f>
        <v>10001</v>
      </c>
      <c r="B1" t="s">
        <v>8</v>
      </c>
      <c r="C1">
        <v>10001</v>
      </c>
      <c r="D1">
        <v>10007</v>
      </c>
      <c r="E1" t="b">
        <f>D1=A7</f>
        <v>0</v>
      </c>
      <c r="F1" t="e">
        <f>VLOOKUP(D1,oyo,2,FALSE)</f>
        <v>#N/A</v>
      </c>
    </row>
    <row r="2" spans="1:6" x14ac:dyDescent="0.45">
      <c r="A2" s="9" t="str">
        <f t="shared" ref="A2:A11" si="0">TEXT(C2,"#####")</f>
        <v>10002</v>
      </c>
      <c r="B2" t="s">
        <v>12</v>
      </c>
      <c r="C2">
        <v>10002</v>
      </c>
    </row>
    <row r="3" spans="1:6" x14ac:dyDescent="0.45">
      <c r="A3" s="9" t="str">
        <f t="shared" si="0"/>
        <v>10003</v>
      </c>
      <c r="B3" t="s">
        <v>15</v>
      </c>
      <c r="C3">
        <v>10003</v>
      </c>
    </row>
    <row r="4" spans="1:6" x14ac:dyDescent="0.45">
      <c r="A4" s="9" t="str">
        <f t="shared" si="0"/>
        <v>10004</v>
      </c>
      <c r="B4" t="s">
        <v>19</v>
      </c>
      <c r="C4">
        <v>10004</v>
      </c>
    </row>
    <row r="5" spans="1:6" x14ac:dyDescent="0.45">
      <c r="A5" s="9" t="str">
        <f t="shared" si="0"/>
        <v>10005</v>
      </c>
      <c r="B5" t="s">
        <v>21</v>
      </c>
      <c r="C5">
        <v>10005</v>
      </c>
    </row>
    <row r="6" spans="1:6" x14ac:dyDescent="0.45">
      <c r="A6" s="9" t="str">
        <f t="shared" si="0"/>
        <v>10006</v>
      </c>
      <c r="B6" t="s">
        <v>24</v>
      </c>
      <c r="C6">
        <v>10006</v>
      </c>
    </row>
    <row r="7" spans="1:6" x14ac:dyDescent="0.45">
      <c r="A7" s="9" t="str">
        <f t="shared" si="0"/>
        <v>10007</v>
      </c>
      <c r="B7" t="s">
        <v>26</v>
      </c>
      <c r="C7">
        <v>10007</v>
      </c>
    </row>
    <row r="8" spans="1:6" x14ac:dyDescent="0.45">
      <c r="A8" s="9" t="str">
        <f t="shared" si="0"/>
        <v>10008</v>
      </c>
      <c r="B8" t="s">
        <v>29</v>
      </c>
      <c r="C8">
        <v>10008</v>
      </c>
    </row>
    <row r="9" spans="1:6" x14ac:dyDescent="0.45">
      <c r="A9" s="9" t="str">
        <f t="shared" si="0"/>
        <v>10009</v>
      </c>
      <c r="B9" t="s">
        <v>31</v>
      </c>
      <c r="C9">
        <v>10009</v>
      </c>
    </row>
    <row r="10" spans="1:6" x14ac:dyDescent="0.45">
      <c r="A10" s="9" t="str">
        <f t="shared" si="0"/>
        <v>10010</v>
      </c>
      <c r="B10" t="s">
        <v>33</v>
      </c>
      <c r="C10">
        <v>10010</v>
      </c>
    </row>
    <row r="11" spans="1:6" x14ac:dyDescent="0.45">
      <c r="A11" s="9" t="str">
        <f t="shared" si="0"/>
        <v>10011</v>
      </c>
      <c r="B11" t="s">
        <v>36</v>
      </c>
      <c r="C11">
        <v>10011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4BB2E-5AB5-4E23-97E8-E1970255F30B}">
  <sheetPr codeName="Sheet3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Dataone</vt:lpstr>
      <vt:lpstr>DataTwo</vt:lpstr>
      <vt:lpstr>myrange</vt:lpstr>
      <vt:lpstr>oyo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Diran Oke</dc:creator>
  <cp:lastModifiedBy>Diran Oke</cp:lastModifiedBy>
  <dcterms:created xsi:type="dcterms:W3CDTF">2024-03-27T03:24:58Z</dcterms:created>
  <dcterms:modified xsi:type="dcterms:W3CDTF">2024-03-27T09:03:14Z</dcterms:modified>
</cp:coreProperties>
</file>