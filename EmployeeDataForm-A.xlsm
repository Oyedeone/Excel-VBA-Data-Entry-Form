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Mac\Home\Downloads\"/>
    </mc:Choice>
  </mc:AlternateContent>
  <xr:revisionPtr revIDLastSave="0" documentId="8_{E8112549-9328-449B-BDE5-68E5C0683036}" xr6:coauthVersionLast="47" xr6:coauthVersionMax="47" xr10:uidLastSave="{00000000-0000-0000-0000-000000000000}"/>
  <bookViews>
    <workbookView xWindow="-98" yWindow="-98" windowWidth="22875" windowHeight="13650" firstSheet="1" activeTab="1" xr2:uid="{C4BE3CF4-559D-4083-B7EC-C4D4B9BE2272}"/>
  </bookViews>
  <sheets>
    <sheet name="Sheet2" sheetId="2" state="hidden" r:id="rId1"/>
    <sheet name="Info" sheetId="4" r:id="rId2"/>
    <sheet name="DataSheet" sheetId="3" r:id="rId3"/>
  </sheets>
  <definedNames>
    <definedName name="_xlnm._FilterDatabase" localSheetId="2" hidden="1">DataSheet!$B$1:$I$101</definedName>
    <definedName name="Dataone">#REF!</definedName>
    <definedName name="DataTwo">#REF!</definedName>
    <definedName name="Department">Sheet2!$A$1:$A$6</definedName>
    <definedName name="Gender">Sheet2!$B$1:$B$3</definedName>
    <definedName name="myrange">#REF!</definedName>
    <definedName name="myrange01">DataSheet!$B$2:$B$101</definedName>
    <definedName name="myrange04">DataSheet!$B:$B</definedName>
    <definedName name="myrange3">DataSheet!$A$2:$K$1048576</definedName>
    <definedName name="myrange5">DataSheet!$B$2:$K$1048576</definedName>
    <definedName name="oyo">Sheet2!$P$1:$Q$11</definedName>
    <definedName name="Table01">DataSheet!$B$1:$I$101</definedName>
    <definedName name="Table02">DataSheet!$B$1:$K$101</definedName>
    <definedName name="Two">Sheet2!$P$1:$P$11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6" i="3" l="1"/>
  <c r="B107" i="3"/>
  <c r="B108" i="3"/>
  <c r="B109" i="3"/>
  <c r="B103" i="3"/>
  <c r="B104" i="3"/>
  <c r="B105" i="3"/>
  <c r="B10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2" i="3"/>
  <c r="P2" i="2"/>
  <c r="P3" i="2"/>
  <c r="P4" i="2"/>
  <c r="P5" i="2"/>
  <c r="P6" i="2"/>
  <c r="P7" i="2"/>
  <c r="E1" i="2" s="1"/>
  <c r="P8" i="2"/>
  <c r="P9" i="2"/>
  <c r="P10" i="2"/>
  <c r="P11" i="2"/>
  <c r="F1" i="2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<sst xmlns="http://schemas.openxmlformats.org/spreadsheetml/2006/main" count="738" uniqueCount="249">
  <si>
    <t>EmployeeNo</t>
  </si>
  <si>
    <t>Address</t>
  </si>
  <si>
    <t>Salary</t>
  </si>
  <si>
    <t>Kathy Fitzgerald</t>
  </si>
  <si>
    <t>Female</t>
  </si>
  <si>
    <t>4146 Lewis Island Apt. 422, Austinville, GA 41436</t>
  </si>
  <si>
    <t>Sales</t>
  </si>
  <si>
    <t>Heather Charles</t>
  </si>
  <si>
    <t>6348 Robert Ranch, West Saraborough, MI 16450</t>
  </si>
  <si>
    <t>Customer Service</t>
  </si>
  <si>
    <t>Melinda Thompson</t>
  </si>
  <si>
    <t>Other</t>
  </si>
  <si>
    <t>968 Randolph Islands Suite 054, Erinborough, AZ 48223</t>
  </si>
  <si>
    <t>Finance</t>
  </si>
  <si>
    <t>Donna Lam</t>
  </si>
  <si>
    <t>335 Banks Mount, North Jasonside, KS 43291</t>
  </si>
  <si>
    <t>John Fowler</t>
  </si>
  <si>
    <t>Male</t>
  </si>
  <si>
    <t>7579 Harrison Way, Davidstad, NE 79516</t>
  </si>
  <si>
    <t>Mark Young MD</t>
  </si>
  <si>
    <t>183 Lopez Ramp Apt. 719, West Ellenmouth, NE 64898</t>
  </si>
  <si>
    <t>Margaret Lopez</t>
  </si>
  <si>
    <t>29771 Pratt Cove Apt. 430, New Traceyhaven, UT 43338</t>
  </si>
  <si>
    <t>Marketing</t>
  </si>
  <si>
    <t>Heather Jackson</t>
  </si>
  <si>
    <t>4169 Sean Light Suite 625, Harmonstad, OH 49384</t>
  </si>
  <si>
    <t>Nicole Hall</t>
  </si>
  <si>
    <t>696 Adam Stravenue, Mckeefort, CO 62563</t>
  </si>
  <si>
    <t>Cheyenne Haynes</t>
  </si>
  <si>
    <t>6052 Anthony Extension, Katherinechester, MI 70939</t>
  </si>
  <si>
    <t>IT</t>
  </si>
  <si>
    <t>Patricia Norman</t>
  </si>
  <si>
    <t>047 Kathryn Parkway, Erikachester, NE 46965</t>
  </si>
  <si>
    <t>Tommy Lopez</t>
  </si>
  <si>
    <t>716 Rebecca Well, Nathanshire, VI 21545</t>
  </si>
  <si>
    <t>Crystal Stone</t>
  </si>
  <si>
    <t>24779 Sherry Hill, Patricktown, AL 55056</t>
  </si>
  <si>
    <t>Marc Brown</t>
  </si>
  <si>
    <t>1651 Carter Mountain, Mcguirestad, PA 08231</t>
  </si>
  <si>
    <t>Amy White</t>
  </si>
  <si>
    <t>108 Amanda Island, Port Abigail, WA 61213</t>
  </si>
  <si>
    <t>Drew Black</t>
  </si>
  <si>
    <t>510 Jackson Greens, Duranville, AK 16877</t>
  </si>
  <si>
    <t>Tristan Braun</t>
  </si>
  <si>
    <t>3320 Watson Shores, South Ashley, NV 00721</t>
  </si>
  <si>
    <t>Alexa Myers</t>
  </si>
  <si>
    <t>79022 Jose Cliffs Apt. 361, North Corey, NJ 72923</t>
  </si>
  <si>
    <t>Kathy Becker</t>
  </si>
  <si>
    <t>71972 Adam Lake, Port Laura, ND 18888</t>
  </si>
  <si>
    <t>Bradley Harrell</t>
  </si>
  <si>
    <t>1771 Laura Tunnel Apt. 819, East Jamesville, MD 94632</t>
  </si>
  <si>
    <t>Jessica Hart</t>
  </si>
  <si>
    <t>587 Isabella Street, North Hunter, MO 29601</t>
  </si>
  <si>
    <t>Matthew Weber</t>
  </si>
  <si>
    <t>73833 James Mills, Davidside, OH 51349</t>
  </si>
  <si>
    <t>Hannah Marsh</t>
  </si>
  <si>
    <t>62882 Adrienne Divide Apt. 486, Madelinechester, ME 01310</t>
  </si>
  <si>
    <t>Richard Johnson</t>
  </si>
  <si>
    <t>484 Elliott Lane, New Sarahmouth, ID 63168</t>
  </si>
  <si>
    <t>Amanda Buchanan</t>
  </si>
  <si>
    <t>907 Taylor Lights, East Meganberg, LA 92822</t>
  </si>
  <si>
    <t>James Sutton</t>
  </si>
  <si>
    <t>40533 Brett Cliffs, South Tiffanymouth, MN 25128</t>
  </si>
  <si>
    <t>Tina Church</t>
  </si>
  <si>
    <t>3678 Wood Rapid Apt. 893, Phillipsmouth, OK 84419</t>
  </si>
  <si>
    <t>Lucas Peterson</t>
  </si>
  <si>
    <t>0073 Denise Drives Suite 049, Reynoldshaven, KY 85184</t>
  </si>
  <si>
    <t>Robert Mckinney</t>
  </si>
  <si>
    <t>855 Mario Key Apt. 018, Christopherview, IA 68330</t>
  </si>
  <si>
    <t>Janice Sanchez</t>
  </si>
  <si>
    <t>142 Stacey Ville Apt. 446, Jonathanmouth, NV 82123</t>
  </si>
  <si>
    <t>Human Resources</t>
  </si>
  <si>
    <t>William Gonzalez</t>
  </si>
  <si>
    <t>88645 Salazar Mission Suite 852, Port Meganborough, WV 23051</t>
  </si>
  <si>
    <t>Emily Richardson</t>
  </si>
  <si>
    <t>270 Bradley Track Suite 392, Briannaburgh, NM 12054</t>
  </si>
  <si>
    <t>Joan Foley</t>
  </si>
  <si>
    <t>7140 Joshua Mission, South Stephanieside, NV 29396</t>
  </si>
  <si>
    <t>Megan Tran</t>
  </si>
  <si>
    <t>07345 Laurie Knolls, North Shelleymouth, IA 75039</t>
  </si>
  <si>
    <t>Brenda Maldonado</t>
  </si>
  <si>
    <t>PSC 7514, Box 3505, APO AE 43137</t>
  </si>
  <si>
    <t>Wendy Yang</t>
  </si>
  <si>
    <t>98131 David Pass, Sanfordbury, NE 28559</t>
  </si>
  <si>
    <t>Michael Charles DDS</t>
  </si>
  <si>
    <t>USNS Thompson, FPO AA 97847</t>
  </si>
  <si>
    <t>Lisa Williams MD</t>
  </si>
  <si>
    <t>060 Fuller Groves Suite 625, Garciamouth, NH 36467</t>
  </si>
  <si>
    <t>Michael Whitney</t>
  </si>
  <si>
    <t>42121 Christopher Curve Suite 534, Turnerville, OR 84230</t>
  </si>
  <si>
    <t>Charles Little</t>
  </si>
  <si>
    <t>44003 Kathleen Shoal, New Amberhaven, VI 35784</t>
  </si>
  <si>
    <t>Grace Thomas</t>
  </si>
  <si>
    <t>PSC 7983, Box 1184, APO AP 75516</t>
  </si>
  <si>
    <t>Sara Ramos</t>
  </si>
  <si>
    <t>84575 Christopher Valley, Katherinefurt, IL 89270</t>
  </si>
  <si>
    <t>Emily Thompson</t>
  </si>
  <si>
    <t>6667 Bradley Knolls, Nicholsmouth, AL 07932</t>
  </si>
  <si>
    <t>Thomas Marshall</t>
  </si>
  <si>
    <t>4799 Jose Underpass Apt. 089, Ambermouth, WA 68385</t>
  </si>
  <si>
    <t>Adrian Rios</t>
  </si>
  <si>
    <t>9563 Brown Highway Suite 277, Espinozaborough, MI 83149</t>
  </si>
  <si>
    <t>Kenneth Bond</t>
  </si>
  <si>
    <t>31053 Mark Glen Suite 658, North Richard, IA 76484</t>
  </si>
  <si>
    <t>Christopher Bryan</t>
  </si>
  <si>
    <t>USCGC Navarro, FPO AP 47278</t>
  </si>
  <si>
    <t>Lisa Jenkins</t>
  </si>
  <si>
    <t>58829 Gray Shoals, Sanfordmouth, GA 40950</t>
  </si>
  <si>
    <t>Gregg Schwartz</t>
  </si>
  <si>
    <t>1916 Paul Mission, North Veronica, RI 63816</t>
  </si>
  <si>
    <t>Emily Garcia</t>
  </si>
  <si>
    <t>PSC 7056, Box 0069, APO AE 14855</t>
  </si>
  <si>
    <t>Rhonda Williams</t>
  </si>
  <si>
    <t>7201 Melissa Isle, Browntown, GA 58129</t>
  </si>
  <si>
    <t>Angela Anderson</t>
  </si>
  <si>
    <t>5891 Brian Lodge, South Mark, IL 97630</t>
  </si>
  <si>
    <t>Michael Graham</t>
  </si>
  <si>
    <t>5916 Virginia Streets Apt. 123, Buckleyburgh, TN 61082</t>
  </si>
  <si>
    <t>Robert Mitchell</t>
  </si>
  <si>
    <t>31110 Anderson Gateway, East Matthew, UT 86933</t>
  </si>
  <si>
    <t>Anne Barr</t>
  </si>
  <si>
    <t>78485 Burton Squares, Millerburgh, IA 29960</t>
  </si>
  <si>
    <t>Connor Rodriguez</t>
  </si>
  <si>
    <t>74340 Schwartz Tunnel Apt. 073, Lake Whitneyburgh, CO 43945</t>
  </si>
  <si>
    <t>Walter Mills</t>
  </si>
  <si>
    <t>7256 Mary Way, Prattmouth, MO 08254</t>
  </si>
  <si>
    <t>Savannah Hurst</t>
  </si>
  <si>
    <t>3300 Nicole Village, Kevinhaven, KS 48781</t>
  </si>
  <si>
    <t>Jill Benton</t>
  </si>
  <si>
    <t>51995 James Turnpike Suite 147, Tylerville, WV 77312</t>
  </si>
  <si>
    <t>Sean Harrell</t>
  </si>
  <si>
    <t>PSC 5656, Box 7554, APO AP 21558</t>
  </si>
  <si>
    <t>Morgan Smith</t>
  </si>
  <si>
    <t>563 Stanley Plaza Apt. 392, Ericport, CT 09327</t>
  </si>
  <si>
    <t>Teresa Miller</t>
  </si>
  <si>
    <t>5866 Catherine Plain Apt. 458, Port Carrie, NC 16837</t>
  </si>
  <si>
    <t>Michael Gutierrez</t>
  </si>
  <si>
    <t>3739 Elizabeth Shoals Suite 303, Fullerfort, AS 51478</t>
  </si>
  <si>
    <t>Allen Cohen</t>
  </si>
  <si>
    <t>104 Harper Views Suite 999, Murrayside, KS 08163</t>
  </si>
  <si>
    <t>Mary Lawrence</t>
  </si>
  <si>
    <t>53065 Bowers Landing, East Connorhaven, NH 08427</t>
  </si>
  <si>
    <t>David Johnson</t>
  </si>
  <si>
    <t>PSC 5582, Box 3835, APO AP 03312</t>
  </si>
  <si>
    <t>Dana Jones</t>
  </si>
  <si>
    <t>Unit 9930 Box 4287, DPO AA 65552</t>
  </si>
  <si>
    <t>Austin Hawkins</t>
  </si>
  <si>
    <t>0955 Alvarez Falls Apt. 199, Lindseyside, TN 18661</t>
  </si>
  <si>
    <t>Cathy Berry</t>
  </si>
  <si>
    <t>13664 Mary Skyway, Douglasfurt, CA 54225</t>
  </si>
  <si>
    <t>Melissa Maynard</t>
  </si>
  <si>
    <t>88872 Thomas Valleys, Port Pamelafort, NJ 76084</t>
  </si>
  <si>
    <t>Sherry Lopez</t>
  </si>
  <si>
    <t>618 Brett Forks Suite 922, Sarahton, NV 17753</t>
  </si>
  <si>
    <t>Caitlin Harrington</t>
  </si>
  <si>
    <t>973 Lance Court, East Annette, OH 82167</t>
  </si>
  <si>
    <t>David Barnett</t>
  </si>
  <si>
    <t>59944 Coleman Shores Apt. 231, Johnsonport, CO 01732</t>
  </si>
  <si>
    <t>Robin Roman</t>
  </si>
  <si>
    <t>437 Joan Turnpike, Moorestad, DC 56970</t>
  </si>
  <si>
    <t>Tammy Bennett</t>
  </si>
  <si>
    <t>Unit 3963 Box 8164, DPO AP 71818</t>
  </si>
  <si>
    <t>Jessica Mejia</t>
  </si>
  <si>
    <t>1490 Baker Flats, New Brettbury, HI 20579</t>
  </si>
  <si>
    <t>William Kim</t>
  </si>
  <si>
    <t>232 Taylor Gateway, Meganshire, WY 05435</t>
  </si>
  <si>
    <t>Jessica Beltran</t>
  </si>
  <si>
    <t>291 John Ford, Lake Gerald, VA 88296</t>
  </si>
  <si>
    <t>Alyssa Morrison</t>
  </si>
  <si>
    <t>77474 Amy Tunnel, Port Andrewburgh, CA 94878</t>
  </si>
  <si>
    <t>Darren Long</t>
  </si>
  <si>
    <t>225 Gary Islands, Lambberg, WY 39848</t>
  </si>
  <si>
    <t>Kyle Wilson</t>
  </si>
  <si>
    <t>99163 Dustin Spur, Lewisstad, NJ 93863</t>
  </si>
  <si>
    <t>David Price</t>
  </si>
  <si>
    <t>33051 Duarte Park Suite 754, South Catherineport, NJ 47647</t>
  </si>
  <si>
    <t>Christopher Mills</t>
  </si>
  <si>
    <t>203 Schneider Mission Apt. 745, West Linda, NH 42421</t>
  </si>
  <si>
    <t>Cory Grimes</t>
  </si>
  <si>
    <t>2449 Hughes Neck, Brentmouth, CO 17992</t>
  </si>
  <si>
    <t>Adam Swanson</t>
  </si>
  <si>
    <t>5919 Lucas Field, Shellychester, MI 32513</t>
  </si>
  <si>
    <t>Jacqueline Miller</t>
  </si>
  <si>
    <t>947 Hodges Mission Apt. 108, Bushchester, MA 64072</t>
  </si>
  <si>
    <t>James Salinas</t>
  </si>
  <si>
    <t>841 Katelyn Tunnel Suite 452, North George, RI 23532</t>
  </si>
  <si>
    <t>Travis Mata</t>
  </si>
  <si>
    <t>8428 Caitlin Tunnel, Laneshire, WA 22589</t>
  </si>
  <si>
    <t>Sarah Shaw</t>
  </si>
  <si>
    <t>291 Smith Radial, Julieshire, MH 39751</t>
  </si>
  <si>
    <t>Richard Kelly</t>
  </si>
  <si>
    <t>310 Heather Keys, Gonzalesborough, KY 45759</t>
  </si>
  <si>
    <t>Daniel Hughes</t>
  </si>
  <si>
    <t>765 Melissa Dale, Changland, WI 75549</t>
  </si>
  <si>
    <t>Justin Henderson</t>
  </si>
  <si>
    <t>919 Kimberly Parkway Apt. 183, Ryanville, MT 65097</t>
  </si>
  <si>
    <t>Margaret Sullivan</t>
  </si>
  <si>
    <t>404 Travis Ways, Christophershire, ME 87417</t>
  </si>
  <si>
    <t>Daniel Jackson</t>
  </si>
  <si>
    <t>12181 Smith Plains Apt. 765, Evanside, ME 14348</t>
  </si>
  <si>
    <t>Dale Allen</t>
  </si>
  <si>
    <t>09208 Vega Oval, Lake Loriborough, MH 92878</t>
  </si>
  <si>
    <t>Jonathan Jones</t>
  </si>
  <si>
    <t>650 John Lake Suite 755, West Cindy, TX 89979</t>
  </si>
  <si>
    <t>Dawn Ortiz</t>
  </si>
  <si>
    <t>5165 Robinson Flats Apt. 380, Eddiebury, NC 69078</t>
  </si>
  <si>
    <t>Vanessa Smith</t>
  </si>
  <si>
    <t>Unit 0644 Box 1994, DPO AP 47061</t>
  </si>
  <si>
    <t>Alan Cook Jr.</t>
  </si>
  <si>
    <t>439 Janet Terrace Apt. 944, Murrayville, OR 98346</t>
  </si>
  <si>
    <t>Sharon Rose</t>
  </si>
  <si>
    <t>2101 Jones Creek Suite 790, North Jonathan, IN 17782</t>
  </si>
  <si>
    <t>Sale</t>
  </si>
  <si>
    <t>Both</t>
  </si>
  <si>
    <t>Yes</t>
  </si>
  <si>
    <t>No</t>
  </si>
  <si>
    <t>New</t>
  </si>
  <si>
    <t>Mid</t>
  </si>
  <si>
    <t>Old</t>
  </si>
  <si>
    <t>19/02/1982</t>
  </si>
  <si>
    <t>EMployeeNo2</t>
  </si>
  <si>
    <t>oyediran</t>
  </si>
  <si>
    <t>22/12/1999</t>
  </si>
  <si>
    <t>oyediran okeoke</t>
  </si>
  <si>
    <t>oyy</t>
  </si>
  <si>
    <t>24/08/2020</t>
  </si>
  <si>
    <t>oyediranok</t>
  </si>
  <si>
    <t>ikolo</t>
  </si>
  <si>
    <t>OyediranOyediran</t>
  </si>
  <si>
    <t xml:space="preserve">oueyee </t>
  </si>
  <si>
    <t>10110</t>
  </si>
  <si>
    <t>Employee Name</t>
  </si>
  <si>
    <t>Date of Birth</t>
  </si>
  <si>
    <t>Gender</t>
  </si>
  <si>
    <t>Date Employyed</t>
  </si>
  <si>
    <t>Current Department</t>
  </si>
  <si>
    <t>Status-1</t>
  </si>
  <si>
    <t>Status-2</t>
  </si>
  <si>
    <t>1</t>
  </si>
  <si>
    <t>OlayiwolaOKE</t>
  </si>
  <si>
    <t>23-34 Broadway NO</t>
  </si>
  <si>
    <t>2</t>
  </si>
  <si>
    <t>Dadday</t>
  </si>
  <si>
    <t>3</t>
  </si>
  <si>
    <t xml:space="preserve">oyedduu </t>
  </si>
  <si>
    <t>10111</t>
  </si>
  <si>
    <t>10112</t>
  </si>
  <si>
    <t>Data Entry Form</t>
  </si>
  <si>
    <t>Data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</si>
</sst>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1" fontId="0" fillId="0" borderId="0" xfId="0" applyNumberFormat="1"/>
    <xf numFmtId="43" fontId="0" fillId="0" borderId="0" xfId="1" applyFont="1"/>
    <xf numFmtId="0" fontId="2" fillId="0" borderId="0" xfId="0" applyFont="1" applyAlignment="1">
      <alignment horizontal="center"/>
    </xf>
  </cellXfs>
  <cellStyles count="2">
    <cellStyle name="Comma" xfId="1" builtinId="3"/>
    <cellStyle name="Normal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m/d/yyyy"/>
    </dxf>
    <dxf>
      <numFmt numFmtId="19" formatCode="m/d/yyyy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hyperlink" Target="https://www.tuktukdesign.com/tag/glyph-icons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1366838</xdr:colOff>
      <xdr:row>1</xdr:row>
      <xdr:rowOff>14288</xdr:rowOff>
    </xdr:from>
    <xdr:to>
      <xdr:col>12</xdr:col>
      <xdr:colOff>204787</xdr:colOff>
      <xdr:row>14</xdr:row>
      <xdr:rowOff>52388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5E345BE-DAB7-6BEE-86D0-F5BB407D3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7638" y="195263"/>
          <a:ext cx="4952999" cy="2390775"/>
        </a:xfrm>
        <a:prstGeom prst="rect">
          <a:avLst/>
        </a:prstGeom>
      </xdr:spPr>
    </xdr:pic>
    <xdr:clientData/>
  </xdr:twoCellAnchor>
  <xdr:twoCellAnchor editAs="oneCell">
    <xdr:from>
      <xdr:col>12</xdr:col>
      <xdr:colOff>376237</xdr:colOff>
      <xdr:row>1</xdr:row>
      <xdr:rowOff>54789</xdr:rowOff>
    </xdr:from>
    <xdr:to>
      <xdr:col>26</xdr:col>
      <xdr:colOff>414424</xdr:colOff>
      <xdr:row>11</xdr:row>
      <xdr:rowOff>166687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2413728-87FC-0CFB-FA59-96A874FEE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48637" y="235764"/>
          <a:ext cx="9105987" cy="19216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66676</xdr:rowOff>
        </xdr:from>
        <xdr:to>
          <xdr:col>4</xdr:col>
          <xdr:colOff>790575</xdr:colOff>
          <xdr:row>3</xdr:row>
          <xdr:rowOff>90488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419100</xdr:colOff>
      <xdr:row>4</xdr:row>
      <xdr:rowOff>147637</xdr:rowOff>
    </xdr:from>
    <xdr:to>
      <xdr:col>4</xdr:col>
      <xdr:colOff>211911</xdr:colOff>
      <xdr:row>13</xdr:row>
      <xdr:rowOff>104774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3CE7F865-5C3F-2177-8C6B-29AEAE007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419100" y="871537"/>
          <a:ext cx="2393136" cy="1585912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419981-06F9-4995-A670-18DF0AE3EE73}" name="Table1" displayName="Table1" ref="A1:K112" totalsRowShown="0">
  <autoFilter ref="A1:K112" xr:uid="{29419981-06F9-4995-A670-18DF0AE3EE73}"/>
  <tableColumns count="11">
    <tableColumn id="11" xr3:uid="{E438E9E4-9BC8-4DC5-A09B-21AEF320C76A}" name="EmployeeNo"/>
    <tableColumn id="1" xr3:uid="{0B539F86-D47C-40B5-B97A-A0E35B54E6B3}" name="EMployeeNo2" dataDxfId="3"/>
    <tableColumn id="2" xr3:uid="{E8897C42-8C21-4E37-A3F5-213E637CB103}" name="Employee Name"/>
    <tableColumn id="3" xr3:uid="{DCADBD76-9409-4F7E-9FD6-AA6F655EAFDE}" name="Date of Birth" dataDxfId="2"/>
    <tableColumn id="4" xr3:uid="{881D6795-4CF3-4378-9994-8AC39A721589}" name="Gender"/>
    <tableColumn id="5" xr3:uid="{15C669FB-C4C5-4D75-8FC3-1DFFBFAD6BEF}" name="Date Employyed" dataDxfId="1"/>
    <tableColumn id="6" xr3:uid="{67E89203-9702-4FAB-9486-D84D8711B700}" name="Address"/>
    <tableColumn id="7" xr3:uid="{6DB991F5-F1E5-4530-B8BD-D0CAE3211368}" name="Current Department"/>
    <tableColumn id="8" xr3:uid="{E132BA46-15C9-4ED7-B0C7-FFEC5CCC7EDE}" name="Salary" dataDxfId="0" dataCellStyle="Comma"/>
    <tableColumn id="9" xr3:uid="{8206E215-54B8-4512-BEF2-D2F971486990}" name="Status-1"/>
    <tableColumn id="10" xr3:uid="{913CD7C2-A52E-4265-A957-08CC35962DB8}" name="Status-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9B602-A0FE-4DDA-A66D-BCB2CE6EF2D5}">
  <sheetPr codeName="Sheet2"/>
  <dimension ref="A1:R29"/>
  <sheetViews>
    <sheetView workbookViewId="0">
      <selection activeCell="D21" sqref="D21:D29"/>
    </sheetView>
  </sheetViews>
  <sheetFormatPr defaultRowHeight="14.25" x14ac:dyDescent="0.45"/>
  <cols>
    <col min="1" max="1" width="18.6640625" customWidth="1"/>
    <col min="2" max="2" width="20.53125" customWidth="1"/>
  </cols>
  <sheetData>
    <row r="1" spans="1:18" x14ac:dyDescent="0.45">
      <c r="A1" t="s">
        <v>23</v>
      </c>
      <c r="B1" t="s">
        <v>4</v>
      </c>
      <c r="D1">
        <v>10007</v>
      </c>
      <c r="E1" t="b">
        <f>D1=P7</f>
        <v>0</v>
      </c>
      <c r="F1" t="e">
        <f>VLOOKUP(D1,oyo,2,FALSE)</f>
        <v>#N/A</v>
      </c>
      <c r="P1" s="3"/>
      <c r="Q1" t="s">
        <v>3</v>
      </c>
    </row>
    <row r="2" spans="1:18" x14ac:dyDescent="0.45">
      <c r="A2" t="s">
        <v>13</v>
      </c>
      <c r="B2" t="s">
        <v>17</v>
      </c>
      <c r="P2" s="3" t="str">
        <f t="shared" ref="P2:P11" si="0">TEXT(R2,"#####")</f>
        <v>10002</v>
      </c>
      <c r="Q2" t="s">
        <v>7</v>
      </c>
      <c r="R2">
        <v>10002</v>
      </c>
    </row>
    <row r="3" spans="1:18" x14ac:dyDescent="0.45">
      <c r="A3" t="s">
        <v>30</v>
      </c>
      <c r="B3" t="s">
        <v>213</v>
      </c>
      <c r="P3" s="3" t="str">
        <f t="shared" si="0"/>
        <v>10003</v>
      </c>
      <c r="Q3" t="s">
        <v>10</v>
      </c>
      <c r="R3">
        <v>10003</v>
      </c>
    </row>
    <row r="4" spans="1:18" x14ac:dyDescent="0.45">
      <c r="A4" t="s">
        <v>9</v>
      </c>
      <c r="P4" s="3" t="str">
        <f t="shared" si="0"/>
        <v>10004</v>
      </c>
      <c r="Q4" t="s">
        <v>14</v>
      </c>
      <c r="R4">
        <v>10004</v>
      </c>
    </row>
    <row r="5" spans="1:18" x14ac:dyDescent="0.45">
      <c r="A5" t="s">
        <v>212</v>
      </c>
      <c r="P5" s="3" t="str">
        <f t="shared" si="0"/>
        <v>10005</v>
      </c>
      <c r="Q5" t="s">
        <v>16</v>
      </c>
      <c r="R5">
        <v>10005</v>
      </c>
    </row>
    <row r="6" spans="1:18" x14ac:dyDescent="0.45">
      <c r="A6" t="s">
        <v>71</v>
      </c>
      <c r="P6" s="3" t="str">
        <f t="shared" si="0"/>
        <v>10006</v>
      </c>
      <c r="Q6" t="s">
        <v>19</v>
      </c>
      <c r="R6">
        <v>10006</v>
      </c>
    </row>
    <row r="7" spans="1:18" x14ac:dyDescent="0.45">
      <c r="P7" s="3" t="str">
        <f t="shared" si="0"/>
        <v>10007</v>
      </c>
      <c r="Q7" t="s">
        <v>21</v>
      </c>
      <c r="R7">
        <v>10007</v>
      </c>
    </row>
    <row r="8" spans="1:18" x14ac:dyDescent="0.45">
      <c r="P8" s="3" t="str">
        <f t="shared" si="0"/>
        <v>10008</v>
      </c>
      <c r="Q8" t="s">
        <v>24</v>
      </c>
      <c r="R8">
        <v>10008</v>
      </c>
    </row>
    <row r="9" spans="1:18" x14ac:dyDescent="0.45">
      <c r="P9" s="3" t="str">
        <f t="shared" si="0"/>
        <v>10009</v>
      </c>
      <c r="Q9" t="s">
        <v>26</v>
      </c>
      <c r="R9">
        <v>10009</v>
      </c>
    </row>
    <row r="10" spans="1:18" x14ac:dyDescent="0.45">
      <c r="P10" s="3" t="str">
        <f t="shared" si="0"/>
        <v>10010</v>
      </c>
      <c r="Q10" t="s">
        <v>28</v>
      </c>
      <c r="R10">
        <v>10010</v>
      </c>
    </row>
    <row r="11" spans="1:18" x14ac:dyDescent="0.45">
      <c r="P11" s="3" t="str">
        <f t="shared" si="0"/>
        <v>10011</v>
      </c>
      <c r="Q11" t="s">
        <v>31</v>
      </c>
      <c r="R11">
        <v>10011</v>
      </c>
    </row>
    <row r="21" spans="1:11" x14ac:dyDescent="0.45">
      <c r="B21" s="2"/>
      <c r="D21" s="1">
        <v>36516</v>
      </c>
      <c r="E21" t="s">
        <v>4</v>
      </c>
      <c r="F21" s="1">
        <v>42919</v>
      </c>
      <c r="G21" t="s">
        <v>5</v>
      </c>
      <c r="H21" t="s">
        <v>30</v>
      </c>
      <c r="I21" s="4">
        <v>100000</v>
      </c>
      <c r="J21" t="s">
        <v>214</v>
      </c>
      <c r="K21" t="s">
        <v>218</v>
      </c>
    </row>
    <row r="22" spans="1:11" x14ac:dyDescent="0.45">
      <c r="B22" s="2"/>
      <c r="D22" s="1"/>
      <c r="F22" s="1"/>
      <c r="I22" s="4"/>
    </row>
    <row r="23" spans="1:11" x14ac:dyDescent="0.45">
      <c r="B23" s="2"/>
      <c r="D23" s="1"/>
      <c r="F23" s="1"/>
      <c r="I23" s="4"/>
    </row>
    <row r="24" spans="1:11" x14ac:dyDescent="0.45">
      <c r="B24" s="2"/>
      <c r="D24" s="1"/>
      <c r="F24" s="1"/>
      <c r="I24" s="4"/>
    </row>
    <row r="25" spans="1:11" x14ac:dyDescent="0.45">
      <c r="B25" s="2"/>
      <c r="D25" s="1"/>
      <c r="F25" s="1"/>
      <c r="I25" s="4"/>
    </row>
    <row r="26" spans="1:11" x14ac:dyDescent="0.45">
      <c r="B26" s="2"/>
      <c r="C26" t="s">
        <v>19</v>
      </c>
      <c r="D26" s="1">
        <v>27171</v>
      </c>
      <c r="E26" t="s">
        <v>4</v>
      </c>
      <c r="F26" s="1">
        <v>44650</v>
      </c>
      <c r="G26" t="s">
        <v>20</v>
      </c>
      <c r="H26" t="s">
        <v>13</v>
      </c>
      <c r="I26" s="4">
        <v>39936.71</v>
      </c>
      <c r="J26" t="s">
        <v>214</v>
      </c>
      <c r="K26" t="s">
        <v>217</v>
      </c>
    </row>
    <row r="27" spans="1:11" x14ac:dyDescent="0.45">
      <c r="A27">
        <v>1</v>
      </c>
      <c r="B27" s="2" t="s">
        <v>238</v>
      </c>
      <c r="C27" t="s">
        <v>239</v>
      </c>
      <c r="D27" s="1" t="s">
        <v>219</v>
      </c>
      <c r="E27" t="s">
        <v>213</v>
      </c>
      <c r="F27" s="1">
        <v>40853</v>
      </c>
      <c r="G27" t="s">
        <v>240</v>
      </c>
      <c r="H27" t="s">
        <v>30</v>
      </c>
      <c r="I27" s="4">
        <v>10000</v>
      </c>
      <c r="J27" t="s">
        <v>214</v>
      </c>
      <c r="K27" t="s">
        <v>217</v>
      </c>
    </row>
    <row r="28" spans="1:11" x14ac:dyDescent="0.45">
      <c r="A28">
        <v>2</v>
      </c>
      <c r="B28" s="2" t="s">
        <v>241</v>
      </c>
      <c r="C28" t="s">
        <v>242</v>
      </c>
      <c r="D28" s="1">
        <v>27171</v>
      </c>
      <c r="E28" t="s">
        <v>4</v>
      </c>
      <c r="F28" s="1">
        <v>44650</v>
      </c>
      <c r="G28" t="s">
        <v>20</v>
      </c>
      <c r="H28" t="s">
        <v>9</v>
      </c>
      <c r="I28" s="4">
        <v>39936.71</v>
      </c>
      <c r="J28" t="s">
        <v>214</v>
      </c>
      <c r="K28" t="s">
        <v>217</v>
      </c>
    </row>
    <row r="29" spans="1:11" x14ac:dyDescent="0.45">
      <c r="A29">
        <v>3</v>
      </c>
      <c r="B29" s="2" t="s">
        <v>243</v>
      </c>
      <c r="C29" t="s">
        <v>244</v>
      </c>
      <c r="D29" s="1">
        <v>35665</v>
      </c>
      <c r="E29" t="s">
        <v>213</v>
      </c>
      <c r="F29" s="1">
        <v>43923</v>
      </c>
      <c r="G29" t="s">
        <v>15</v>
      </c>
      <c r="H29" t="s">
        <v>13</v>
      </c>
      <c r="I29" s="4">
        <v>1000</v>
      </c>
      <c r="J29" t="s">
        <v>214</v>
      </c>
      <c r="K29" t="s">
        <v>217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DFD12-9338-46B4-92C6-7091BCBD4E77}">
  <sheetPr codeName="Sheet4"/>
  <dimension ref="A1:AA42"/>
  <sheetViews>
    <sheetView showGridLines="0" tabSelected="1" workbookViewId="0">
      <selection activeCell="E14" sqref="E14"/>
    </sheetView>
  </sheetViews>
  <sheetFormatPr defaultColWidth="0" defaultRowHeight="14.25" zeroHeight="1" x14ac:dyDescent="0.45"/>
  <cols>
    <col min="1" max="1" width="9.19921875" customWidth="1"/>
    <col min="2" max="4" width="9.06640625" customWidth="1"/>
    <col min="5" max="5" width="22.1328125" customWidth="1"/>
    <col min="6" max="27" width="9.06640625" customWidth="1"/>
    <col min="28" max="16384" width="9.06640625" hidden="1"/>
  </cols>
  <sheetData>
    <row r="1" spans="7:20" x14ac:dyDescent="0.45">
      <c r="G1" s="5" t="s">
        <v>247</v>
      </c>
      <c r="H1" s="5"/>
      <c r="I1" s="5"/>
      <c r="J1" s="5"/>
      <c r="K1" s="5"/>
      <c r="P1" s="5" t="s">
        <v>248</v>
      </c>
      <c r="Q1" s="5"/>
      <c r="R1" s="5"/>
      <c r="S1" s="5"/>
      <c r="T1" s="5"/>
    </row>
    <row r="2" spans="7:20" x14ac:dyDescent="0.45"/>
    <row r="3" spans="7:20" x14ac:dyDescent="0.45"/>
    <row r="4" spans="7:20" x14ac:dyDescent="0.45"/>
    <row r="5" spans="7:20" x14ac:dyDescent="0.45"/>
    <row r="6" spans="7:20" x14ac:dyDescent="0.45"/>
    <row r="7" spans="7:20" x14ac:dyDescent="0.45"/>
    <row r="8" spans="7:20" x14ac:dyDescent="0.45"/>
    <row r="9" spans="7:20" x14ac:dyDescent="0.45"/>
    <row r="10" spans="7:20" x14ac:dyDescent="0.45"/>
    <row r="11" spans="7:20" x14ac:dyDescent="0.45"/>
    <row r="12" spans="7:20" x14ac:dyDescent="0.45"/>
    <row r="13" spans="7:20" x14ac:dyDescent="0.45"/>
    <row r="14" spans="7:20" x14ac:dyDescent="0.45"/>
    <row r="15" spans="7:20" x14ac:dyDescent="0.45"/>
    <row r="30" spans="3:3" hidden="1" x14ac:dyDescent="0.45">
      <c r="C30" t="e" vm="1">
        <v>#VALUE!</v>
      </c>
    </row>
    <row r="33" customFormat="1" hidden="1" x14ac:dyDescent="0.45"/>
    <row r="34" customFormat="1" hidden="1" x14ac:dyDescent="0.45"/>
    <row r="35" customFormat="1" hidden="1" x14ac:dyDescent="0.45"/>
    <row r="36" customFormat="1" hidden="1" x14ac:dyDescent="0.45"/>
    <row r="37" customFormat="1" hidden="1" x14ac:dyDescent="0.45"/>
    <row r="38" customFormat="1" hidden="1" x14ac:dyDescent="0.45"/>
    <row r="39" customFormat="1" hidden="1" x14ac:dyDescent="0.45"/>
    <row r="40" customFormat="1" hidden="1" x14ac:dyDescent="0.45"/>
    <row r="41" customFormat="1" hidden="1" x14ac:dyDescent="0.45"/>
    <row r="42" customFormat="1" hidden="1" x14ac:dyDescent="0.45"/>
  </sheetData>
  <mergeCells count="2">
    <mergeCell ref="G1:K1"/>
    <mergeCell ref="P1:T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66675</xdr:rowOff>
              </from>
              <to>
                <xdr:col>4</xdr:col>
                <xdr:colOff>790575</xdr:colOff>
                <xdr:row>3</xdr:row>
                <xdr:rowOff>90488</xdr:rowOff>
              </to>
            </anchor>
          </controlPr>
        </control>
      </mc:Choice>
      <mc:Fallback>
        <control shapeId="409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4BB2E-5AB5-4E23-97E8-E1970255F30B}">
  <sheetPr codeName="Sheet3"/>
  <dimension ref="A1:L112"/>
  <sheetViews>
    <sheetView workbookViewId="0">
      <selection activeCell="G8" sqref="G8"/>
    </sheetView>
  </sheetViews>
  <sheetFormatPr defaultRowHeight="14.25" x14ac:dyDescent="0.45"/>
  <cols>
    <col min="1" max="1" width="11.73046875" customWidth="1"/>
    <col min="2" max="2" width="17.265625" style="2" customWidth="1"/>
    <col min="3" max="3" width="20.19921875" customWidth="1"/>
    <col min="4" max="4" width="14.46484375" style="1" customWidth="1"/>
    <col min="6" max="6" width="17.1328125" style="1" customWidth="1"/>
    <col min="7" max="7" width="18.6640625" customWidth="1"/>
    <col min="8" max="8" width="18.33203125" customWidth="1"/>
    <col min="9" max="9" width="15.46484375" style="4" customWidth="1"/>
    <col min="10" max="10" width="11.19921875" customWidth="1"/>
    <col min="11" max="11" width="13.19921875" customWidth="1"/>
  </cols>
  <sheetData>
    <row r="1" spans="1:12" x14ac:dyDescent="0.45">
      <c r="A1" t="s">
        <v>0</v>
      </c>
      <c r="B1" s="2" t="s">
        <v>220</v>
      </c>
      <c r="C1" t="s">
        <v>231</v>
      </c>
      <c r="D1" s="1" t="s">
        <v>232</v>
      </c>
      <c r="E1" t="s">
        <v>233</v>
      </c>
      <c r="F1" s="1" t="s">
        <v>234</v>
      </c>
      <c r="G1" t="s">
        <v>1</v>
      </c>
      <c r="H1" t="s">
        <v>235</v>
      </c>
      <c r="I1" s="4" t="s">
        <v>2</v>
      </c>
      <c r="J1" t="s">
        <v>236</v>
      </c>
      <c r="K1" t="s">
        <v>237</v>
      </c>
    </row>
    <row r="2" spans="1:12" x14ac:dyDescent="0.45">
      <c r="A2">
        <v>10001</v>
      </c>
      <c r="B2" s="2" t="str">
        <f>TEXT(Table1[[#This Row],[EmployeeNo]],"#####")</f>
        <v>10001</v>
      </c>
      <c r="C2" t="s">
        <v>3</v>
      </c>
      <c r="D2" s="1">
        <v>36516</v>
      </c>
      <c r="E2" t="s">
        <v>4</v>
      </c>
      <c r="F2" s="1">
        <v>42919</v>
      </c>
      <c r="G2" t="s">
        <v>5</v>
      </c>
      <c r="H2" t="s">
        <v>30</v>
      </c>
      <c r="I2" s="4">
        <v>10000000</v>
      </c>
      <c r="J2" t="s">
        <v>214</v>
      </c>
      <c r="K2" t="s">
        <v>217</v>
      </c>
      <c r="L2">
        <v>0</v>
      </c>
    </row>
    <row r="3" spans="1:12" x14ac:dyDescent="0.45">
      <c r="A3">
        <v>10002</v>
      </c>
      <c r="B3" s="2" t="str">
        <f>TEXT(Table1[[#This Row],[EmployeeNo]],"#####")</f>
        <v>10002</v>
      </c>
      <c r="C3" t="s">
        <v>7</v>
      </c>
      <c r="D3" s="1">
        <v>30519</v>
      </c>
      <c r="E3" t="s">
        <v>4</v>
      </c>
      <c r="F3" s="1">
        <v>45131</v>
      </c>
      <c r="G3" t="s">
        <v>8</v>
      </c>
      <c r="H3" t="s">
        <v>9</v>
      </c>
      <c r="I3" s="4">
        <v>65318.21</v>
      </c>
      <c r="J3" t="s">
        <v>214</v>
      </c>
      <c r="K3" t="s">
        <v>217</v>
      </c>
    </row>
    <row r="4" spans="1:12" x14ac:dyDescent="0.45">
      <c r="A4">
        <v>10003</v>
      </c>
      <c r="B4" s="2" t="str">
        <f>TEXT(Table1[[#This Row],[EmployeeNo]],"#####")</f>
        <v>10003</v>
      </c>
      <c r="C4" t="s">
        <v>10</v>
      </c>
      <c r="D4" s="1">
        <v>34777</v>
      </c>
      <c r="E4" t="s">
        <v>11</v>
      </c>
      <c r="F4" s="1">
        <v>44133</v>
      </c>
      <c r="G4" t="s">
        <v>12</v>
      </c>
      <c r="H4" t="s">
        <v>13</v>
      </c>
      <c r="I4" s="4">
        <v>69719.75</v>
      </c>
      <c r="J4" t="s">
        <v>215</v>
      </c>
      <c r="K4" t="s">
        <v>218</v>
      </c>
    </row>
    <row r="5" spans="1:12" x14ac:dyDescent="0.45">
      <c r="A5">
        <v>10004</v>
      </c>
      <c r="B5" s="2" t="str">
        <f>TEXT(Table1[[#This Row],[EmployeeNo]],"#####")</f>
        <v>10004</v>
      </c>
      <c r="C5" t="s">
        <v>14</v>
      </c>
      <c r="D5" s="1">
        <v>35665</v>
      </c>
      <c r="E5" t="s">
        <v>213</v>
      </c>
      <c r="F5" s="1">
        <v>43923</v>
      </c>
      <c r="G5" t="s">
        <v>15</v>
      </c>
      <c r="H5" t="s">
        <v>13</v>
      </c>
      <c r="I5" s="4">
        <v>345673</v>
      </c>
      <c r="J5" t="s">
        <v>214</v>
      </c>
      <c r="K5" t="s">
        <v>217</v>
      </c>
    </row>
    <row r="6" spans="1:12" x14ac:dyDescent="0.45">
      <c r="A6">
        <v>10005</v>
      </c>
      <c r="B6" s="2" t="str">
        <f>TEXT(Table1[[#This Row],[EmployeeNo]],"#####")</f>
        <v>10005</v>
      </c>
      <c r="C6" t="s">
        <v>16</v>
      </c>
      <c r="D6" s="1">
        <v>27681</v>
      </c>
      <c r="E6" t="s">
        <v>17</v>
      </c>
      <c r="F6" s="1">
        <v>42479</v>
      </c>
      <c r="G6" t="s">
        <v>18</v>
      </c>
      <c r="H6" t="s">
        <v>9</v>
      </c>
      <c r="I6" s="4">
        <v>100000</v>
      </c>
      <c r="J6" t="s">
        <v>214</v>
      </c>
      <c r="K6" t="s">
        <v>218</v>
      </c>
    </row>
    <row r="7" spans="1:12" x14ac:dyDescent="0.45">
      <c r="A7">
        <v>10006</v>
      </c>
      <c r="B7" s="2" t="str">
        <f>TEXT(Table1[[#This Row],[EmployeeNo]],"#####")</f>
        <v>10006</v>
      </c>
      <c r="C7" t="s">
        <v>19</v>
      </c>
      <c r="D7" s="1">
        <v>27171</v>
      </c>
      <c r="E7" t="s">
        <v>4</v>
      </c>
      <c r="F7" s="1">
        <v>44650</v>
      </c>
      <c r="G7" t="s">
        <v>20</v>
      </c>
      <c r="H7" t="s">
        <v>9</v>
      </c>
      <c r="I7" s="4">
        <v>39936.71</v>
      </c>
      <c r="J7" t="s">
        <v>214</v>
      </c>
      <c r="K7" t="s">
        <v>218</v>
      </c>
    </row>
    <row r="8" spans="1:12" x14ac:dyDescent="0.45">
      <c r="A8">
        <v>10007</v>
      </c>
      <c r="B8" s="2" t="str">
        <f>TEXT(Table1[[#This Row],[EmployeeNo]],"#####")</f>
        <v>10007</v>
      </c>
      <c r="C8" t="s">
        <v>21</v>
      </c>
      <c r="D8" s="1">
        <v>28617</v>
      </c>
      <c r="E8" t="s">
        <v>4</v>
      </c>
      <c r="F8" s="1">
        <v>44067</v>
      </c>
      <c r="G8" t="s">
        <v>22</v>
      </c>
      <c r="H8" t="s">
        <v>30</v>
      </c>
      <c r="I8" s="4">
        <v>74318.710000000006</v>
      </c>
      <c r="J8" t="s">
        <v>215</v>
      </c>
      <c r="K8" t="s">
        <v>216</v>
      </c>
    </row>
    <row r="9" spans="1:12" x14ac:dyDescent="0.45">
      <c r="A9">
        <v>10008</v>
      </c>
      <c r="B9" s="2" t="str">
        <f>TEXT(Table1[[#This Row],[EmployeeNo]],"#####")</f>
        <v>10008</v>
      </c>
      <c r="C9" t="s">
        <v>24</v>
      </c>
      <c r="D9" s="1">
        <v>36187</v>
      </c>
      <c r="E9" t="s">
        <v>11</v>
      </c>
      <c r="F9" s="1">
        <v>42137</v>
      </c>
      <c r="G9" t="s">
        <v>25</v>
      </c>
      <c r="H9" t="s">
        <v>23</v>
      </c>
      <c r="I9" s="4">
        <v>40007.49</v>
      </c>
      <c r="J9" t="s">
        <v>215</v>
      </c>
      <c r="K9" t="s">
        <v>218</v>
      </c>
    </row>
    <row r="10" spans="1:12" x14ac:dyDescent="0.45">
      <c r="A10">
        <v>10009</v>
      </c>
      <c r="B10" s="2" t="str">
        <f>TEXT(Table1[[#This Row],[EmployeeNo]],"#####")</f>
        <v>10009</v>
      </c>
      <c r="C10" t="s">
        <v>26</v>
      </c>
      <c r="D10" s="1">
        <v>24876</v>
      </c>
      <c r="E10" t="s">
        <v>4</v>
      </c>
      <c r="F10" s="1">
        <v>44633</v>
      </c>
      <c r="G10" t="s">
        <v>27</v>
      </c>
      <c r="H10" t="s">
        <v>13</v>
      </c>
      <c r="I10" s="4">
        <v>48750.54</v>
      </c>
      <c r="J10" t="s">
        <v>214</v>
      </c>
      <c r="K10" t="s">
        <v>218</v>
      </c>
    </row>
    <row r="11" spans="1:12" x14ac:dyDescent="0.45">
      <c r="A11">
        <v>10010</v>
      </c>
      <c r="B11" s="2" t="str">
        <f>TEXT(Table1[[#This Row],[EmployeeNo]],"#####")</f>
        <v>10010</v>
      </c>
      <c r="C11" t="s">
        <v>28</v>
      </c>
      <c r="D11" s="1">
        <v>26912</v>
      </c>
      <c r="E11" t="s">
        <v>17</v>
      </c>
      <c r="F11" s="1">
        <v>44441</v>
      </c>
      <c r="G11" t="s">
        <v>29</v>
      </c>
      <c r="H11" t="s">
        <v>30</v>
      </c>
      <c r="I11" s="4">
        <v>40803.74</v>
      </c>
      <c r="J11" t="s">
        <v>214</v>
      </c>
      <c r="K11" t="s">
        <v>216</v>
      </c>
    </row>
    <row r="12" spans="1:12" x14ac:dyDescent="0.45">
      <c r="A12">
        <v>10011</v>
      </c>
      <c r="B12" s="2" t="str">
        <f>TEXT(Table1[[#This Row],[EmployeeNo]],"#####")</f>
        <v>10011</v>
      </c>
      <c r="C12" t="s">
        <v>31</v>
      </c>
      <c r="D12" s="1">
        <v>37696</v>
      </c>
      <c r="E12" t="s">
        <v>4</v>
      </c>
      <c r="F12" s="1">
        <v>44924</v>
      </c>
      <c r="G12" t="s">
        <v>32</v>
      </c>
      <c r="H12" t="s">
        <v>13</v>
      </c>
      <c r="I12" s="4">
        <v>96445.5</v>
      </c>
      <c r="J12" t="s">
        <v>215</v>
      </c>
      <c r="K12" t="s">
        <v>217</v>
      </c>
    </row>
    <row r="13" spans="1:12" x14ac:dyDescent="0.45">
      <c r="A13">
        <v>10012</v>
      </c>
      <c r="B13" s="2" t="str">
        <f>TEXT(Table1[[#This Row],[EmployeeNo]],"#####")</f>
        <v>10012</v>
      </c>
      <c r="C13" t="s">
        <v>33</v>
      </c>
      <c r="D13" s="1">
        <v>38058</v>
      </c>
      <c r="E13" t="s">
        <v>4</v>
      </c>
      <c r="F13" s="1">
        <v>42178</v>
      </c>
      <c r="G13" t="s">
        <v>34</v>
      </c>
      <c r="H13" t="s">
        <v>9</v>
      </c>
      <c r="I13" s="4">
        <v>99669.04</v>
      </c>
      <c r="J13" t="s">
        <v>215</v>
      </c>
      <c r="K13" t="s">
        <v>218</v>
      </c>
    </row>
    <row r="14" spans="1:12" x14ac:dyDescent="0.45">
      <c r="A14">
        <v>10013</v>
      </c>
      <c r="B14" s="2" t="str">
        <f>TEXT(Table1[[#This Row],[EmployeeNo]],"#####")</f>
        <v>10013</v>
      </c>
      <c r="C14" t="s">
        <v>35</v>
      </c>
      <c r="D14" s="1">
        <v>21601</v>
      </c>
      <c r="E14" t="s">
        <v>17</v>
      </c>
      <c r="F14" s="1">
        <v>43185</v>
      </c>
      <c r="G14" t="s">
        <v>36</v>
      </c>
      <c r="H14" t="s">
        <v>9</v>
      </c>
      <c r="I14" s="4">
        <v>47279.21</v>
      </c>
      <c r="J14" t="s">
        <v>214</v>
      </c>
      <c r="K14" t="s">
        <v>216</v>
      </c>
    </row>
    <row r="15" spans="1:12" x14ac:dyDescent="0.45">
      <c r="A15">
        <v>10014</v>
      </c>
      <c r="B15" s="2" t="str">
        <f>TEXT(Table1[[#This Row],[EmployeeNo]],"#####")</f>
        <v>10014</v>
      </c>
      <c r="C15" t="s">
        <v>37</v>
      </c>
      <c r="D15" s="1">
        <v>32008</v>
      </c>
      <c r="E15" t="s">
        <v>11</v>
      </c>
      <c r="F15" s="1">
        <v>42231</v>
      </c>
      <c r="G15" t="s">
        <v>38</v>
      </c>
      <c r="H15" t="s">
        <v>30</v>
      </c>
      <c r="I15" s="4">
        <v>32921.629999999997</v>
      </c>
      <c r="J15" t="s">
        <v>214</v>
      </c>
      <c r="K15" t="s">
        <v>217</v>
      </c>
    </row>
    <row r="16" spans="1:12" x14ac:dyDescent="0.45">
      <c r="A16">
        <v>10015</v>
      </c>
      <c r="B16" s="2" t="str">
        <f>TEXT(Table1[[#This Row],[EmployeeNo]],"#####")</f>
        <v>10015</v>
      </c>
      <c r="C16" t="s">
        <v>39</v>
      </c>
      <c r="D16" s="1">
        <v>34963</v>
      </c>
      <c r="E16" t="s">
        <v>4</v>
      </c>
      <c r="F16" s="1">
        <v>43959</v>
      </c>
      <c r="G16" t="s">
        <v>40</v>
      </c>
      <c r="H16" t="s">
        <v>13</v>
      </c>
      <c r="I16" s="4">
        <v>93631.43</v>
      </c>
      <c r="J16" t="s">
        <v>215</v>
      </c>
      <c r="K16" t="s">
        <v>218</v>
      </c>
    </row>
    <row r="17" spans="1:11" x14ac:dyDescent="0.45">
      <c r="A17">
        <v>10016</v>
      </c>
      <c r="B17" s="2" t="str">
        <f>TEXT(Table1[[#This Row],[EmployeeNo]],"#####")</f>
        <v>10016</v>
      </c>
      <c r="C17" t="s">
        <v>41</v>
      </c>
      <c r="D17" s="1">
        <v>28979</v>
      </c>
      <c r="E17" t="s">
        <v>4</v>
      </c>
      <c r="F17" s="1">
        <v>44579</v>
      </c>
      <c r="G17" t="s">
        <v>42</v>
      </c>
      <c r="H17" t="s">
        <v>13</v>
      </c>
      <c r="I17" s="4">
        <v>89010.69</v>
      </c>
      <c r="J17" t="s">
        <v>215</v>
      </c>
      <c r="K17" t="s">
        <v>216</v>
      </c>
    </row>
    <row r="18" spans="1:11" x14ac:dyDescent="0.45">
      <c r="A18">
        <v>10017</v>
      </c>
      <c r="B18" s="2" t="str">
        <f>TEXT(Table1[[#This Row],[EmployeeNo]],"#####")</f>
        <v>10017</v>
      </c>
      <c r="C18" t="s">
        <v>43</v>
      </c>
      <c r="D18" s="1">
        <v>34676</v>
      </c>
      <c r="E18" t="s">
        <v>17</v>
      </c>
      <c r="F18" s="1">
        <v>45038</v>
      </c>
      <c r="G18" t="s">
        <v>44</v>
      </c>
      <c r="H18" t="s">
        <v>23</v>
      </c>
      <c r="I18" s="4">
        <v>82393.47</v>
      </c>
      <c r="J18" t="s">
        <v>214</v>
      </c>
      <c r="K18" t="s">
        <v>217</v>
      </c>
    </row>
    <row r="19" spans="1:11" x14ac:dyDescent="0.45">
      <c r="A19">
        <v>10018</v>
      </c>
      <c r="B19" s="2" t="str">
        <f>TEXT(Table1[[#This Row],[EmployeeNo]],"#####")</f>
        <v>10018</v>
      </c>
      <c r="C19" t="s">
        <v>45</v>
      </c>
      <c r="D19" s="1">
        <v>37191</v>
      </c>
      <c r="E19" t="s">
        <v>11</v>
      </c>
      <c r="F19" s="1">
        <v>45116</v>
      </c>
      <c r="G19" t="s">
        <v>46</v>
      </c>
      <c r="H19" t="s">
        <v>9</v>
      </c>
      <c r="I19" s="4">
        <v>35163.64</v>
      </c>
      <c r="J19" t="s">
        <v>214</v>
      </c>
      <c r="K19" t="s">
        <v>218</v>
      </c>
    </row>
    <row r="20" spans="1:11" x14ac:dyDescent="0.45">
      <c r="A20">
        <v>10019</v>
      </c>
      <c r="B20" s="2" t="str">
        <f>TEXT(Table1[[#This Row],[EmployeeNo]],"#####")</f>
        <v>10019</v>
      </c>
      <c r="C20" t="s">
        <v>47</v>
      </c>
      <c r="D20" s="1">
        <v>30860</v>
      </c>
      <c r="E20" t="s">
        <v>4</v>
      </c>
      <c r="F20" s="1">
        <v>44182</v>
      </c>
      <c r="G20" t="s">
        <v>48</v>
      </c>
      <c r="H20" t="s">
        <v>23</v>
      </c>
      <c r="I20" s="4">
        <v>88874.57</v>
      </c>
      <c r="J20" t="s">
        <v>215</v>
      </c>
      <c r="K20" t="s">
        <v>216</v>
      </c>
    </row>
    <row r="21" spans="1:11" x14ac:dyDescent="0.45">
      <c r="A21">
        <v>10020</v>
      </c>
      <c r="B21" s="2" t="str">
        <f>TEXT(Table1[[#This Row],[EmployeeNo]],"#####")</f>
        <v>10020</v>
      </c>
      <c r="C21" t="s">
        <v>49</v>
      </c>
      <c r="D21" s="1">
        <v>21570</v>
      </c>
      <c r="E21" t="s">
        <v>4</v>
      </c>
      <c r="F21" s="1">
        <v>45283</v>
      </c>
      <c r="G21" t="s">
        <v>50</v>
      </c>
      <c r="H21" t="s">
        <v>13</v>
      </c>
      <c r="I21" s="4">
        <v>41944.95</v>
      </c>
      <c r="J21" t="s">
        <v>215</v>
      </c>
      <c r="K21" t="s">
        <v>217</v>
      </c>
    </row>
    <row r="22" spans="1:11" x14ac:dyDescent="0.45">
      <c r="A22">
        <v>10021</v>
      </c>
      <c r="B22" s="2" t="str">
        <f>TEXT(Table1[[#This Row],[EmployeeNo]],"#####")</f>
        <v>10021</v>
      </c>
      <c r="C22" t="s">
        <v>51</v>
      </c>
      <c r="D22" s="1">
        <v>29770</v>
      </c>
      <c r="E22" t="s">
        <v>11</v>
      </c>
      <c r="F22" s="1">
        <v>42986</v>
      </c>
      <c r="G22" t="s">
        <v>52</v>
      </c>
      <c r="H22" t="s">
        <v>30</v>
      </c>
      <c r="I22" s="4">
        <v>86646.45</v>
      </c>
      <c r="J22" t="s">
        <v>214</v>
      </c>
      <c r="K22" t="s">
        <v>218</v>
      </c>
    </row>
    <row r="23" spans="1:11" x14ac:dyDescent="0.45">
      <c r="A23">
        <v>10022</v>
      </c>
      <c r="B23" s="2" t="str">
        <f>TEXT(Table1[[#This Row],[EmployeeNo]],"#####")</f>
        <v>10022</v>
      </c>
      <c r="C23" t="s">
        <v>53</v>
      </c>
      <c r="D23" s="1">
        <v>32645</v>
      </c>
      <c r="E23" t="s">
        <v>17</v>
      </c>
      <c r="F23" s="1">
        <v>44826</v>
      </c>
      <c r="G23" t="s">
        <v>54</v>
      </c>
      <c r="H23" t="s">
        <v>30</v>
      </c>
      <c r="I23" s="4">
        <v>33664.78</v>
      </c>
      <c r="J23" t="s">
        <v>214</v>
      </c>
      <c r="K23" t="s">
        <v>216</v>
      </c>
    </row>
    <row r="24" spans="1:11" x14ac:dyDescent="0.45">
      <c r="A24">
        <v>10023</v>
      </c>
      <c r="B24" s="2" t="str">
        <f>TEXT(Table1[[#This Row],[EmployeeNo]],"#####")</f>
        <v>10023</v>
      </c>
      <c r="C24" t="s">
        <v>55</v>
      </c>
      <c r="D24" s="1">
        <v>37544</v>
      </c>
      <c r="E24" t="s">
        <v>11</v>
      </c>
      <c r="F24" s="1">
        <v>43204</v>
      </c>
      <c r="G24" t="s">
        <v>56</v>
      </c>
      <c r="H24" t="s">
        <v>9</v>
      </c>
      <c r="I24" s="4">
        <v>91558.51</v>
      </c>
      <c r="J24" t="s">
        <v>215</v>
      </c>
      <c r="K24" t="s">
        <v>217</v>
      </c>
    </row>
    <row r="25" spans="1:11" x14ac:dyDescent="0.45">
      <c r="A25">
        <v>10024</v>
      </c>
      <c r="B25" s="2" t="str">
        <f>TEXT(Table1[[#This Row],[EmployeeNo]],"#####")</f>
        <v>10024</v>
      </c>
      <c r="C25" t="s">
        <v>57</v>
      </c>
      <c r="D25" s="1">
        <v>28710</v>
      </c>
      <c r="E25" t="s">
        <v>17</v>
      </c>
      <c r="F25" s="1">
        <v>42389</v>
      </c>
      <c r="G25" t="s">
        <v>58</v>
      </c>
      <c r="H25" t="s">
        <v>9</v>
      </c>
      <c r="I25" s="4">
        <v>96041.63</v>
      </c>
      <c r="J25" t="s">
        <v>215</v>
      </c>
      <c r="K25" t="s">
        <v>218</v>
      </c>
    </row>
    <row r="26" spans="1:11" x14ac:dyDescent="0.45">
      <c r="A26">
        <v>10025</v>
      </c>
      <c r="B26" s="2" t="str">
        <f>TEXT(Table1[[#This Row],[EmployeeNo]],"#####")</f>
        <v>10025</v>
      </c>
      <c r="C26" t="s">
        <v>59</v>
      </c>
      <c r="D26" s="1">
        <v>35554</v>
      </c>
      <c r="E26" t="s">
        <v>17</v>
      </c>
      <c r="F26" s="1">
        <v>45188</v>
      </c>
      <c r="G26" t="s">
        <v>60</v>
      </c>
      <c r="H26" t="s">
        <v>23</v>
      </c>
      <c r="I26" s="4">
        <v>98818.26</v>
      </c>
      <c r="J26" t="s">
        <v>214</v>
      </c>
      <c r="K26" t="s">
        <v>216</v>
      </c>
    </row>
    <row r="27" spans="1:11" x14ac:dyDescent="0.45">
      <c r="A27">
        <v>10026</v>
      </c>
      <c r="B27" s="2" t="str">
        <f>TEXT(Table1[[#This Row],[EmployeeNo]],"#####")</f>
        <v>10026</v>
      </c>
      <c r="C27" t="s">
        <v>61</v>
      </c>
      <c r="D27" s="1">
        <v>36025</v>
      </c>
      <c r="E27" t="s">
        <v>17</v>
      </c>
      <c r="F27" s="1">
        <v>43084</v>
      </c>
      <c r="G27" t="s">
        <v>62</v>
      </c>
      <c r="H27" t="s">
        <v>9</v>
      </c>
      <c r="I27" s="4">
        <v>96434.11</v>
      </c>
      <c r="J27" t="s">
        <v>214</v>
      </c>
      <c r="K27" t="s">
        <v>217</v>
      </c>
    </row>
    <row r="28" spans="1:11" x14ac:dyDescent="0.45">
      <c r="A28">
        <v>10027</v>
      </c>
      <c r="B28" s="2" t="str">
        <f>TEXT(Table1[[#This Row],[EmployeeNo]],"#####")</f>
        <v>10027</v>
      </c>
      <c r="C28" t="s">
        <v>63</v>
      </c>
      <c r="D28" s="1">
        <v>33284</v>
      </c>
      <c r="E28" t="s">
        <v>11</v>
      </c>
      <c r="F28" s="1">
        <v>43224</v>
      </c>
      <c r="G28" t="s">
        <v>64</v>
      </c>
      <c r="H28" t="s">
        <v>6</v>
      </c>
      <c r="I28" s="4">
        <v>31872.52</v>
      </c>
      <c r="J28" t="s">
        <v>215</v>
      </c>
      <c r="K28" t="s">
        <v>218</v>
      </c>
    </row>
    <row r="29" spans="1:11" x14ac:dyDescent="0.45">
      <c r="A29">
        <v>10028</v>
      </c>
      <c r="B29" s="2" t="str">
        <f>TEXT(Table1[[#This Row],[EmployeeNo]],"#####")</f>
        <v>10028</v>
      </c>
      <c r="C29" t="s">
        <v>65</v>
      </c>
      <c r="D29" s="1">
        <v>29757</v>
      </c>
      <c r="E29" t="s">
        <v>17</v>
      </c>
      <c r="F29" s="1">
        <v>42422</v>
      </c>
      <c r="G29" t="s">
        <v>66</v>
      </c>
      <c r="H29" t="s">
        <v>23</v>
      </c>
      <c r="I29" s="4">
        <v>80379.13</v>
      </c>
      <c r="J29" t="s">
        <v>215</v>
      </c>
      <c r="K29" t="s">
        <v>216</v>
      </c>
    </row>
    <row r="30" spans="1:11" x14ac:dyDescent="0.45">
      <c r="A30">
        <v>10029</v>
      </c>
      <c r="B30" s="2" t="str">
        <f>TEXT(Table1[[#This Row],[EmployeeNo]],"#####")</f>
        <v>10029</v>
      </c>
      <c r="C30" t="s">
        <v>67</v>
      </c>
      <c r="D30" s="1">
        <v>31259</v>
      </c>
      <c r="E30" t="s">
        <v>17</v>
      </c>
      <c r="F30" s="1">
        <v>43102</v>
      </c>
      <c r="G30" t="s">
        <v>68</v>
      </c>
      <c r="H30" t="s">
        <v>30</v>
      </c>
      <c r="I30" s="4">
        <v>66194.41</v>
      </c>
      <c r="J30" t="s">
        <v>214</v>
      </c>
      <c r="K30" t="s">
        <v>217</v>
      </c>
    </row>
    <row r="31" spans="1:11" x14ac:dyDescent="0.45">
      <c r="A31">
        <v>10030</v>
      </c>
      <c r="B31" s="2" t="str">
        <f>TEXT(Table1[[#This Row],[EmployeeNo]],"#####")</f>
        <v>10030</v>
      </c>
      <c r="C31" t="s">
        <v>69</v>
      </c>
      <c r="D31" s="1">
        <v>37859</v>
      </c>
      <c r="E31" t="s">
        <v>11</v>
      </c>
      <c r="F31" s="1">
        <v>42170</v>
      </c>
      <c r="G31" t="s">
        <v>70</v>
      </c>
      <c r="H31" t="s">
        <v>71</v>
      </c>
      <c r="I31" s="4">
        <v>37491.35</v>
      </c>
      <c r="J31" t="s">
        <v>214</v>
      </c>
      <c r="K31" t="s">
        <v>218</v>
      </c>
    </row>
    <row r="32" spans="1:11" x14ac:dyDescent="0.45">
      <c r="A32">
        <v>10031</v>
      </c>
      <c r="B32" s="2" t="str">
        <f>TEXT(Table1[[#This Row],[EmployeeNo]],"#####")</f>
        <v>10031</v>
      </c>
      <c r="C32" t="s">
        <v>72</v>
      </c>
      <c r="D32" s="1">
        <v>27074</v>
      </c>
      <c r="E32" t="s">
        <v>17</v>
      </c>
      <c r="F32" s="1">
        <v>43449</v>
      </c>
      <c r="G32" t="s">
        <v>73</v>
      </c>
      <c r="H32" t="s">
        <v>71</v>
      </c>
      <c r="I32" s="4">
        <v>45601.74</v>
      </c>
      <c r="J32" t="s">
        <v>215</v>
      </c>
      <c r="K32" t="s">
        <v>216</v>
      </c>
    </row>
    <row r="33" spans="1:11" x14ac:dyDescent="0.45">
      <c r="A33">
        <v>10032</v>
      </c>
      <c r="B33" s="2" t="str">
        <f>TEXT(Table1[[#This Row],[EmployeeNo]],"#####")</f>
        <v>10032</v>
      </c>
      <c r="C33" t="s">
        <v>74</v>
      </c>
      <c r="D33" s="1">
        <v>37547</v>
      </c>
      <c r="E33" t="s">
        <v>17</v>
      </c>
      <c r="F33" s="1">
        <v>43940</v>
      </c>
      <c r="G33" t="s">
        <v>75</v>
      </c>
      <c r="H33" t="s">
        <v>71</v>
      </c>
      <c r="I33" s="4">
        <v>84455.63</v>
      </c>
      <c r="J33" t="s">
        <v>215</v>
      </c>
      <c r="K33" t="s">
        <v>217</v>
      </c>
    </row>
    <row r="34" spans="1:11" x14ac:dyDescent="0.45">
      <c r="A34">
        <v>10033</v>
      </c>
      <c r="B34" s="2" t="str">
        <f>TEXT(Table1[[#This Row],[EmployeeNo]],"#####")</f>
        <v>10033</v>
      </c>
      <c r="C34" t="s">
        <v>76</v>
      </c>
      <c r="D34" s="1">
        <v>29914</v>
      </c>
      <c r="E34" t="s">
        <v>11</v>
      </c>
      <c r="F34" s="1">
        <v>42781</v>
      </c>
      <c r="G34" t="s">
        <v>77</v>
      </c>
      <c r="H34" t="s">
        <v>30</v>
      </c>
      <c r="I34" s="4">
        <v>43555.21</v>
      </c>
      <c r="J34" t="s">
        <v>214</v>
      </c>
      <c r="K34" t="s">
        <v>218</v>
      </c>
    </row>
    <row r="35" spans="1:11" x14ac:dyDescent="0.45">
      <c r="A35">
        <v>10034</v>
      </c>
      <c r="B35" s="2" t="str">
        <f>TEXT(Table1[[#This Row],[EmployeeNo]],"#####")</f>
        <v>10034</v>
      </c>
      <c r="C35" t="s">
        <v>78</v>
      </c>
      <c r="D35" s="1">
        <v>37440</v>
      </c>
      <c r="E35" t="s">
        <v>11</v>
      </c>
      <c r="F35" s="1">
        <v>43435</v>
      </c>
      <c r="G35" t="s">
        <v>79</v>
      </c>
      <c r="H35" t="s">
        <v>13</v>
      </c>
      <c r="I35" s="4">
        <v>82622.559999999998</v>
      </c>
      <c r="J35" t="s">
        <v>214</v>
      </c>
      <c r="K35" t="s">
        <v>216</v>
      </c>
    </row>
    <row r="36" spans="1:11" x14ac:dyDescent="0.45">
      <c r="A36">
        <v>10035</v>
      </c>
      <c r="B36" s="2" t="str">
        <f>TEXT(Table1[[#This Row],[EmployeeNo]],"#####")</f>
        <v>10035</v>
      </c>
      <c r="C36" t="s">
        <v>80</v>
      </c>
      <c r="D36" s="1">
        <v>23861</v>
      </c>
      <c r="E36" t="s">
        <v>17</v>
      </c>
      <c r="F36" s="1">
        <v>43776</v>
      </c>
      <c r="G36" t="s">
        <v>81</v>
      </c>
      <c r="H36" t="s">
        <v>6</v>
      </c>
      <c r="I36" s="4">
        <v>53334.67</v>
      </c>
      <c r="J36" t="s">
        <v>215</v>
      </c>
      <c r="K36" t="s">
        <v>217</v>
      </c>
    </row>
    <row r="37" spans="1:11" x14ac:dyDescent="0.45">
      <c r="A37">
        <v>10036</v>
      </c>
      <c r="B37" s="2" t="str">
        <f>TEXT(Table1[[#This Row],[EmployeeNo]],"#####")</f>
        <v>10036</v>
      </c>
      <c r="C37" t="s">
        <v>82</v>
      </c>
      <c r="D37" s="1">
        <v>23666</v>
      </c>
      <c r="E37" t="s">
        <v>4</v>
      </c>
      <c r="F37" s="1">
        <v>45102</v>
      </c>
      <c r="G37" t="s">
        <v>83</v>
      </c>
      <c r="H37" t="s">
        <v>71</v>
      </c>
      <c r="I37" s="4">
        <v>56236.71</v>
      </c>
      <c r="J37" t="s">
        <v>215</v>
      </c>
      <c r="K37" t="s">
        <v>218</v>
      </c>
    </row>
    <row r="38" spans="1:11" x14ac:dyDescent="0.45">
      <c r="A38">
        <v>10037</v>
      </c>
      <c r="B38" s="2" t="str">
        <f>TEXT(Table1[[#This Row],[EmployeeNo]],"#####")</f>
        <v>10037</v>
      </c>
      <c r="C38" t="s">
        <v>84</v>
      </c>
      <c r="D38" s="1">
        <v>31515</v>
      </c>
      <c r="E38" t="s">
        <v>17</v>
      </c>
      <c r="F38" s="1">
        <v>45254</v>
      </c>
      <c r="G38" t="s">
        <v>85</v>
      </c>
      <c r="H38" t="s">
        <v>6</v>
      </c>
      <c r="I38" s="4">
        <v>81952.45</v>
      </c>
      <c r="J38" t="s">
        <v>214</v>
      </c>
      <c r="K38" t="s">
        <v>216</v>
      </c>
    </row>
    <row r="39" spans="1:11" x14ac:dyDescent="0.45">
      <c r="A39">
        <v>10038</v>
      </c>
      <c r="B39" s="2" t="str">
        <f>TEXT(Table1[[#This Row],[EmployeeNo]],"#####")</f>
        <v>10038</v>
      </c>
      <c r="C39" t="s">
        <v>86</v>
      </c>
      <c r="D39" s="1">
        <v>32414</v>
      </c>
      <c r="E39" t="s">
        <v>17</v>
      </c>
      <c r="F39" s="1">
        <v>45203</v>
      </c>
      <c r="G39" t="s">
        <v>87</v>
      </c>
      <c r="H39" t="s">
        <v>9</v>
      </c>
      <c r="I39" s="4">
        <v>36723.910000000003</v>
      </c>
      <c r="J39" t="s">
        <v>214</v>
      </c>
      <c r="K39" t="s">
        <v>217</v>
      </c>
    </row>
    <row r="40" spans="1:11" x14ac:dyDescent="0.45">
      <c r="A40">
        <v>10039</v>
      </c>
      <c r="B40" s="2" t="str">
        <f>TEXT(Table1[[#This Row],[EmployeeNo]],"#####")</f>
        <v>10039</v>
      </c>
      <c r="C40" t="s">
        <v>88</v>
      </c>
      <c r="D40" s="1">
        <v>30574</v>
      </c>
      <c r="E40" t="s">
        <v>17</v>
      </c>
      <c r="F40" s="1">
        <v>44095</v>
      </c>
      <c r="G40" t="s">
        <v>89</v>
      </c>
      <c r="H40" t="s">
        <v>23</v>
      </c>
      <c r="I40" s="4">
        <v>68815.649999999994</v>
      </c>
      <c r="J40" t="s">
        <v>215</v>
      </c>
      <c r="K40" t="s">
        <v>218</v>
      </c>
    </row>
    <row r="41" spans="1:11" x14ac:dyDescent="0.45">
      <c r="A41">
        <v>10040</v>
      </c>
      <c r="B41" s="2" t="str">
        <f>TEXT(Table1[[#This Row],[EmployeeNo]],"#####")</f>
        <v>10040</v>
      </c>
      <c r="C41" t="s">
        <v>90</v>
      </c>
      <c r="D41" s="1">
        <v>35473</v>
      </c>
      <c r="E41" t="s">
        <v>17</v>
      </c>
      <c r="F41" s="1">
        <v>44044</v>
      </c>
      <c r="G41" t="s">
        <v>91</v>
      </c>
      <c r="H41" t="s">
        <v>9</v>
      </c>
      <c r="I41" s="4">
        <v>75087.929999999993</v>
      </c>
      <c r="J41" t="s">
        <v>215</v>
      </c>
      <c r="K41" t="s">
        <v>216</v>
      </c>
    </row>
    <row r="42" spans="1:11" x14ac:dyDescent="0.45">
      <c r="A42">
        <v>10041</v>
      </c>
      <c r="B42" s="2" t="str">
        <f>TEXT(Table1[[#This Row],[EmployeeNo]],"#####")</f>
        <v>10041</v>
      </c>
      <c r="C42" t="s">
        <v>92</v>
      </c>
      <c r="D42" s="1">
        <v>24710</v>
      </c>
      <c r="E42" t="s">
        <v>11</v>
      </c>
      <c r="F42" s="1">
        <v>44919</v>
      </c>
      <c r="G42" t="s">
        <v>93</v>
      </c>
      <c r="H42" t="s">
        <v>6</v>
      </c>
      <c r="I42" s="4">
        <v>34317.83</v>
      </c>
      <c r="J42" t="s">
        <v>214</v>
      </c>
      <c r="K42" t="s">
        <v>217</v>
      </c>
    </row>
    <row r="43" spans="1:11" x14ac:dyDescent="0.45">
      <c r="A43">
        <v>10042</v>
      </c>
      <c r="B43" s="2" t="str">
        <f>TEXT(Table1[[#This Row],[EmployeeNo]],"#####")</f>
        <v>10042</v>
      </c>
      <c r="C43" t="s">
        <v>94</v>
      </c>
      <c r="D43" s="1">
        <v>37972</v>
      </c>
      <c r="E43" t="s">
        <v>11</v>
      </c>
      <c r="F43" s="1">
        <v>42388</v>
      </c>
      <c r="G43" t="s">
        <v>95</v>
      </c>
      <c r="H43" t="s">
        <v>9</v>
      </c>
      <c r="I43" s="4">
        <v>78892.88</v>
      </c>
      <c r="J43" t="s">
        <v>214</v>
      </c>
      <c r="K43" t="s">
        <v>218</v>
      </c>
    </row>
    <row r="44" spans="1:11" x14ac:dyDescent="0.45">
      <c r="A44">
        <v>10043</v>
      </c>
      <c r="B44" s="2" t="str">
        <f>TEXT(Table1[[#This Row],[EmployeeNo]],"#####")</f>
        <v>10043</v>
      </c>
      <c r="C44" t="s">
        <v>96</v>
      </c>
      <c r="D44" s="1">
        <v>36381</v>
      </c>
      <c r="E44" t="s">
        <v>4</v>
      </c>
      <c r="F44" s="1">
        <v>42144</v>
      </c>
      <c r="G44" t="s">
        <v>97</v>
      </c>
      <c r="H44" t="s">
        <v>9</v>
      </c>
      <c r="I44" s="4">
        <v>40476.400000000001</v>
      </c>
      <c r="J44" t="s">
        <v>215</v>
      </c>
      <c r="K44" t="s">
        <v>216</v>
      </c>
    </row>
    <row r="45" spans="1:11" x14ac:dyDescent="0.45">
      <c r="A45">
        <v>10044</v>
      </c>
      <c r="B45" s="2" t="str">
        <f>TEXT(Table1[[#This Row],[EmployeeNo]],"#####")</f>
        <v>10044</v>
      </c>
      <c r="C45" t="s">
        <v>98</v>
      </c>
      <c r="D45" s="1">
        <v>29484</v>
      </c>
      <c r="E45" t="s">
        <v>4</v>
      </c>
      <c r="F45" s="1">
        <v>42372</v>
      </c>
      <c r="G45" t="s">
        <v>99</v>
      </c>
      <c r="H45" t="s">
        <v>23</v>
      </c>
      <c r="I45" s="4">
        <v>38238.51</v>
      </c>
      <c r="J45" t="s">
        <v>215</v>
      </c>
      <c r="K45" t="s">
        <v>217</v>
      </c>
    </row>
    <row r="46" spans="1:11" x14ac:dyDescent="0.45">
      <c r="A46">
        <v>10045</v>
      </c>
      <c r="B46" s="2" t="str">
        <f>TEXT(Table1[[#This Row],[EmployeeNo]],"#####")</f>
        <v>10045</v>
      </c>
      <c r="C46" t="s">
        <v>100</v>
      </c>
      <c r="D46" s="1">
        <v>35985</v>
      </c>
      <c r="E46" t="s">
        <v>4</v>
      </c>
      <c r="F46" s="1">
        <v>43865</v>
      </c>
      <c r="G46" t="s">
        <v>101</v>
      </c>
      <c r="H46" t="s">
        <v>6</v>
      </c>
      <c r="I46" s="4">
        <v>81954.539999999994</v>
      </c>
      <c r="J46" t="s">
        <v>214</v>
      </c>
      <c r="K46" t="s">
        <v>218</v>
      </c>
    </row>
    <row r="47" spans="1:11" x14ac:dyDescent="0.45">
      <c r="A47">
        <v>10046</v>
      </c>
      <c r="B47" s="2" t="str">
        <f>TEXT(Table1[[#This Row],[EmployeeNo]],"#####")</f>
        <v>10046</v>
      </c>
      <c r="C47" t="s">
        <v>102</v>
      </c>
      <c r="D47" s="1">
        <v>33788</v>
      </c>
      <c r="E47" t="s">
        <v>4</v>
      </c>
      <c r="F47" s="1">
        <v>42279</v>
      </c>
      <c r="G47" t="s">
        <v>103</v>
      </c>
      <c r="H47" t="s">
        <v>6</v>
      </c>
      <c r="I47" s="4">
        <v>53832.63</v>
      </c>
      <c r="J47" t="s">
        <v>214</v>
      </c>
      <c r="K47" t="s">
        <v>216</v>
      </c>
    </row>
    <row r="48" spans="1:11" x14ac:dyDescent="0.45">
      <c r="A48">
        <v>10047</v>
      </c>
      <c r="B48" s="2" t="str">
        <f>TEXT(Table1[[#This Row],[EmployeeNo]],"#####")</f>
        <v>10047</v>
      </c>
      <c r="C48" t="s">
        <v>104</v>
      </c>
      <c r="D48" s="1">
        <v>32809</v>
      </c>
      <c r="E48" t="s">
        <v>11</v>
      </c>
      <c r="F48" s="1">
        <v>43663</v>
      </c>
      <c r="G48" t="s">
        <v>105</v>
      </c>
      <c r="H48" t="s">
        <v>9</v>
      </c>
      <c r="I48" s="4">
        <v>61312.91</v>
      </c>
      <c r="J48" t="s">
        <v>215</v>
      </c>
      <c r="K48" t="s">
        <v>217</v>
      </c>
    </row>
    <row r="49" spans="1:11" x14ac:dyDescent="0.45">
      <c r="A49">
        <v>10048</v>
      </c>
      <c r="B49" s="2" t="str">
        <f>TEXT(Table1[[#This Row],[EmployeeNo]],"#####")</f>
        <v>10048</v>
      </c>
      <c r="C49" t="s">
        <v>106</v>
      </c>
      <c r="D49" s="1">
        <v>34920</v>
      </c>
      <c r="E49" t="s">
        <v>11</v>
      </c>
      <c r="F49" s="1">
        <v>44215</v>
      </c>
      <c r="G49" t="s">
        <v>107</v>
      </c>
      <c r="H49" t="s">
        <v>71</v>
      </c>
      <c r="I49" s="4">
        <v>63864.89</v>
      </c>
      <c r="J49" t="s">
        <v>215</v>
      </c>
      <c r="K49" t="s">
        <v>218</v>
      </c>
    </row>
    <row r="50" spans="1:11" x14ac:dyDescent="0.45">
      <c r="A50">
        <v>10049</v>
      </c>
      <c r="B50" s="2" t="str">
        <f>TEXT(Table1[[#This Row],[EmployeeNo]],"#####")</f>
        <v>10049</v>
      </c>
      <c r="C50" t="s">
        <v>108</v>
      </c>
      <c r="D50" s="1">
        <v>22320</v>
      </c>
      <c r="E50" t="s">
        <v>11</v>
      </c>
      <c r="F50" s="1">
        <v>43241</v>
      </c>
      <c r="G50" t="s">
        <v>109</v>
      </c>
      <c r="H50" t="s">
        <v>30</v>
      </c>
      <c r="I50" s="4">
        <v>69233.37</v>
      </c>
      <c r="J50" t="s">
        <v>214</v>
      </c>
      <c r="K50" t="s">
        <v>216</v>
      </c>
    </row>
    <row r="51" spans="1:11" x14ac:dyDescent="0.45">
      <c r="A51">
        <v>10050</v>
      </c>
      <c r="B51" s="2" t="str">
        <f>TEXT(Table1[[#This Row],[EmployeeNo]],"#####")</f>
        <v>10050</v>
      </c>
      <c r="C51" t="s">
        <v>110</v>
      </c>
      <c r="D51" s="1">
        <v>22660</v>
      </c>
      <c r="E51" t="s">
        <v>17</v>
      </c>
      <c r="F51" s="1">
        <v>42684</v>
      </c>
      <c r="G51" t="s">
        <v>111</v>
      </c>
      <c r="H51" t="s">
        <v>71</v>
      </c>
      <c r="I51" s="4">
        <v>70762.149999999994</v>
      </c>
      <c r="J51" t="s">
        <v>214</v>
      </c>
      <c r="K51" t="s">
        <v>217</v>
      </c>
    </row>
    <row r="52" spans="1:11" x14ac:dyDescent="0.45">
      <c r="A52">
        <v>10051</v>
      </c>
      <c r="B52" s="2" t="str">
        <f>TEXT(Table1[[#This Row],[EmployeeNo]],"#####")</f>
        <v>10051</v>
      </c>
      <c r="C52" t="s">
        <v>112</v>
      </c>
      <c r="D52" s="1">
        <v>32868</v>
      </c>
      <c r="E52" t="s">
        <v>4</v>
      </c>
      <c r="F52" s="1">
        <v>41809</v>
      </c>
      <c r="G52" t="s">
        <v>113</v>
      </c>
      <c r="H52" t="s">
        <v>71</v>
      </c>
      <c r="I52" s="4">
        <v>44450.6</v>
      </c>
      <c r="J52" t="s">
        <v>215</v>
      </c>
      <c r="K52" t="s">
        <v>218</v>
      </c>
    </row>
    <row r="53" spans="1:11" x14ac:dyDescent="0.45">
      <c r="A53">
        <v>10052</v>
      </c>
      <c r="B53" s="2" t="str">
        <f>TEXT(Table1[[#This Row],[EmployeeNo]],"#####")</f>
        <v>10052</v>
      </c>
      <c r="C53" t="s">
        <v>114</v>
      </c>
      <c r="D53" s="1">
        <v>35476</v>
      </c>
      <c r="E53" t="s">
        <v>11</v>
      </c>
      <c r="F53" s="1">
        <v>43196</v>
      </c>
      <c r="G53" t="s">
        <v>115</v>
      </c>
      <c r="H53" t="s">
        <v>71</v>
      </c>
      <c r="I53" s="4">
        <v>40451.919999999998</v>
      </c>
      <c r="J53" t="s">
        <v>215</v>
      </c>
      <c r="K53" t="s">
        <v>216</v>
      </c>
    </row>
    <row r="54" spans="1:11" x14ac:dyDescent="0.45">
      <c r="A54">
        <v>10053</v>
      </c>
      <c r="B54" s="2" t="str">
        <f>TEXT(Table1[[#This Row],[EmployeeNo]],"#####")</f>
        <v>10053</v>
      </c>
      <c r="C54" t="s">
        <v>116</v>
      </c>
      <c r="D54" s="1">
        <v>24409</v>
      </c>
      <c r="E54" t="s">
        <v>4</v>
      </c>
      <c r="F54" s="1">
        <v>42885</v>
      </c>
      <c r="G54" t="s">
        <v>117</v>
      </c>
      <c r="H54" t="s">
        <v>13</v>
      </c>
      <c r="I54" s="4">
        <v>90782.77</v>
      </c>
      <c r="J54" t="s">
        <v>214</v>
      </c>
      <c r="K54" t="s">
        <v>217</v>
      </c>
    </row>
    <row r="55" spans="1:11" x14ac:dyDescent="0.45">
      <c r="A55">
        <v>10054</v>
      </c>
      <c r="B55" s="2" t="str">
        <f>TEXT(Table1[[#This Row],[EmployeeNo]],"#####")</f>
        <v>10054</v>
      </c>
      <c r="C55" t="s">
        <v>118</v>
      </c>
      <c r="D55" s="1">
        <v>31187</v>
      </c>
      <c r="E55" t="s">
        <v>17</v>
      </c>
      <c r="F55" s="1">
        <v>43029</v>
      </c>
      <c r="G55" t="s">
        <v>119</v>
      </c>
      <c r="H55" t="s">
        <v>9</v>
      </c>
      <c r="I55" s="4">
        <v>52263.38</v>
      </c>
      <c r="J55" t="s">
        <v>214</v>
      </c>
      <c r="K55" t="s">
        <v>218</v>
      </c>
    </row>
    <row r="56" spans="1:11" x14ac:dyDescent="0.45">
      <c r="A56">
        <v>10055</v>
      </c>
      <c r="B56" s="2" t="str">
        <f>TEXT(Table1[[#This Row],[EmployeeNo]],"#####")</f>
        <v>10055</v>
      </c>
      <c r="C56" t="s">
        <v>120</v>
      </c>
      <c r="D56" s="1">
        <v>30735</v>
      </c>
      <c r="E56" t="s">
        <v>17</v>
      </c>
      <c r="F56" s="1">
        <v>43187</v>
      </c>
      <c r="G56" t="s">
        <v>121</v>
      </c>
      <c r="H56" t="s">
        <v>30</v>
      </c>
      <c r="I56" s="4">
        <v>59026.93</v>
      </c>
      <c r="J56" t="s">
        <v>215</v>
      </c>
      <c r="K56" t="s">
        <v>216</v>
      </c>
    </row>
    <row r="57" spans="1:11" x14ac:dyDescent="0.45">
      <c r="A57">
        <v>10056</v>
      </c>
      <c r="B57" s="2" t="str">
        <f>TEXT(Table1[[#This Row],[EmployeeNo]],"#####")</f>
        <v>10056</v>
      </c>
      <c r="C57" t="s">
        <v>122</v>
      </c>
      <c r="D57" s="1">
        <v>30516</v>
      </c>
      <c r="E57" t="s">
        <v>4</v>
      </c>
      <c r="F57" s="1">
        <v>43721</v>
      </c>
      <c r="G57" t="s">
        <v>123</v>
      </c>
      <c r="H57" t="s">
        <v>13</v>
      </c>
      <c r="I57" s="4">
        <v>33951.47</v>
      </c>
      <c r="J57" t="s">
        <v>215</v>
      </c>
      <c r="K57" t="s">
        <v>217</v>
      </c>
    </row>
    <row r="58" spans="1:11" x14ac:dyDescent="0.45">
      <c r="A58">
        <v>10057</v>
      </c>
      <c r="B58" s="2" t="str">
        <f>TEXT(Table1[[#This Row],[EmployeeNo]],"#####")</f>
        <v>10057</v>
      </c>
      <c r="C58" t="s">
        <v>124</v>
      </c>
      <c r="D58" s="1">
        <v>37704</v>
      </c>
      <c r="E58" t="s">
        <v>17</v>
      </c>
      <c r="F58" s="1">
        <v>44241</v>
      </c>
      <c r="G58" t="s">
        <v>125</v>
      </c>
      <c r="H58" t="s">
        <v>71</v>
      </c>
      <c r="I58" s="4">
        <v>40408.58</v>
      </c>
      <c r="J58" t="s">
        <v>214</v>
      </c>
      <c r="K58" t="s">
        <v>218</v>
      </c>
    </row>
    <row r="59" spans="1:11" x14ac:dyDescent="0.45">
      <c r="A59">
        <v>10058</v>
      </c>
      <c r="B59" s="2" t="str">
        <f>TEXT(Table1[[#This Row],[EmployeeNo]],"#####")</f>
        <v>10058</v>
      </c>
      <c r="C59" t="s">
        <v>126</v>
      </c>
      <c r="D59" s="1">
        <v>30901</v>
      </c>
      <c r="E59" t="s">
        <v>11</v>
      </c>
      <c r="F59" s="1">
        <v>44595</v>
      </c>
      <c r="G59" t="s">
        <v>127</v>
      </c>
      <c r="H59" t="s">
        <v>13</v>
      </c>
      <c r="I59" s="4">
        <v>59586.879999999997</v>
      </c>
      <c r="J59" t="s">
        <v>214</v>
      </c>
      <c r="K59" t="s">
        <v>216</v>
      </c>
    </row>
    <row r="60" spans="1:11" x14ac:dyDescent="0.45">
      <c r="A60">
        <v>10059</v>
      </c>
      <c r="B60" s="2" t="str">
        <f>TEXT(Table1[[#This Row],[EmployeeNo]],"#####")</f>
        <v>10059</v>
      </c>
      <c r="C60" t="s">
        <v>128</v>
      </c>
      <c r="D60" s="1">
        <v>23972</v>
      </c>
      <c r="E60" t="s">
        <v>4</v>
      </c>
      <c r="F60" s="1">
        <v>44678</v>
      </c>
      <c r="G60" t="s">
        <v>129</v>
      </c>
      <c r="H60" t="s">
        <v>6</v>
      </c>
      <c r="I60" s="4">
        <v>38941.629999999997</v>
      </c>
      <c r="J60" t="s">
        <v>215</v>
      </c>
      <c r="K60" t="s">
        <v>217</v>
      </c>
    </row>
    <row r="61" spans="1:11" x14ac:dyDescent="0.45">
      <c r="A61">
        <v>10060</v>
      </c>
      <c r="B61" s="2" t="str">
        <f>TEXT(Table1[[#This Row],[EmployeeNo]],"#####")</f>
        <v>10060</v>
      </c>
      <c r="C61" t="s">
        <v>130</v>
      </c>
      <c r="D61" s="1">
        <v>31649</v>
      </c>
      <c r="E61" t="s">
        <v>17</v>
      </c>
      <c r="F61" s="1">
        <v>41855</v>
      </c>
      <c r="G61" t="s">
        <v>131</v>
      </c>
      <c r="H61" t="s">
        <v>9</v>
      </c>
      <c r="I61" s="4">
        <v>74975.320000000007</v>
      </c>
      <c r="J61" t="s">
        <v>215</v>
      </c>
      <c r="K61" t="s">
        <v>218</v>
      </c>
    </row>
    <row r="62" spans="1:11" x14ac:dyDescent="0.45">
      <c r="A62">
        <v>10061</v>
      </c>
      <c r="B62" s="2" t="str">
        <f>TEXT(Table1[[#This Row],[EmployeeNo]],"#####")</f>
        <v>10061</v>
      </c>
      <c r="C62" t="s">
        <v>132</v>
      </c>
      <c r="D62" s="1">
        <v>38507</v>
      </c>
      <c r="E62" t="s">
        <v>11</v>
      </c>
      <c r="F62" s="1">
        <v>42242</v>
      </c>
      <c r="G62" t="s">
        <v>133</v>
      </c>
      <c r="H62" t="s">
        <v>71</v>
      </c>
      <c r="I62" s="4">
        <v>32010.06</v>
      </c>
      <c r="J62" t="s">
        <v>214</v>
      </c>
      <c r="K62" t="s">
        <v>216</v>
      </c>
    </row>
    <row r="63" spans="1:11" x14ac:dyDescent="0.45">
      <c r="A63">
        <v>10062</v>
      </c>
      <c r="B63" s="2" t="str">
        <f>TEXT(Table1[[#This Row],[EmployeeNo]],"#####")</f>
        <v>10062</v>
      </c>
      <c r="C63" t="s">
        <v>134</v>
      </c>
      <c r="D63" s="1">
        <v>26795</v>
      </c>
      <c r="E63" t="s">
        <v>17</v>
      </c>
      <c r="F63" s="1">
        <v>44127</v>
      </c>
      <c r="G63" t="s">
        <v>135</v>
      </c>
      <c r="H63" t="s">
        <v>23</v>
      </c>
      <c r="I63" s="4">
        <v>82227.88</v>
      </c>
      <c r="J63" t="s">
        <v>214</v>
      </c>
      <c r="K63" t="s">
        <v>217</v>
      </c>
    </row>
    <row r="64" spans="1:11" x14ac:dyDescent="0.45">
      <c r="A64">
        <v>10063</v>
      </c>
      <c r="B64" s="2" t="str">
        <f>TEXT(Table1[[#This Row],[EmployeeNo]],"#####")</f>
        <v>10063</v>
      </c>
      <c r="C64" t="s">
        <v>136</v>
      </c>
      <c r="D64" s="1">
        <v>29976</v>
      </c>
      <c r="E64" t="s">
        <v>4</v>
      </c>
      <c r="F64" s="1">
        <v>45230</v>
      </c>
      <c r="G64" t="s">
        <v>137</v>
      </c>
      <c r="H64" t="s">
        <v>23</v>
      </c>
      <c r="I64" s="4">
        <v>68548.320000000007</v>
      </c>
      <c r="J64" t="s">
        <v>215</v>
      </c>
      <c r="K64" t="s">
        <v>218</v>
      </c>
    </row>
    <row r="65" spans="1:11" x14ac:dyDescent="0.45">
      <c r="A65">
        <v>10064</v>
      </c>
      <c r="B65" s="2" t="str">
        <f>TEXT(Table1[[#This Row],[EmployeeNo]],"#####")</f>
        <v>10064</v>
      </c>
      <c r="C65" t="s">
        <v>138</v>
      </c>
      <c r="D65" s="1">
        <v>22298</v>
      </c>
      <c r="E65" t="s">
        <v>4</v>
      </c>
      <c r="F65" s="1">
        <v>43390</v>
      </c>
      <c r="G65" t="s">
        <v>139</v>
      </c>
      <c r="H65" t="s">
        <v>13</v>
      </c>
      <c r="I65" s="4">
        <v>46907.02</v>
      </c>
      <c r="J65" t="s">
        <v>215</v>
      </c>
      <c r="K65" t="s">
        <v>216</v>
      </c>
    </row>
    <row r="66" spans="1:11" x14ac:dyDescent="0.45">
      <c r="A66">
        <v>10065</v>
      </c>
      <c r="B66" s="2" t="str">
        <f>TEXT(Table1[[#This Row],[EmployeeNo]],"#####")</f>
        <v>10065</v>
      </c>
      <c r="C66" t="s">
        <v>140</v>
      </c>
      <c r="D66" s="1">
        <v>26717</v>
      </c>
      <c r="E66" t="s">
        <v>11</v>
      </c>
      <c r="F66" s="1">
        <v>44700</v>
      </c>
      <c r="G66" t="s">
        <v>141</v>
      </c>
      <c r="H66" t="s">
        <v>71</v>
      </c>
      <c r="I66" s="4">
        <v>84632.19</v>
      </c>
      <c r="J66" t="s">
        <v>214</v>
      </c>
      <c r="K66" t="s">
        <v>217</v>
      </c>
    </row>
    <row r="67" spans="1:11" x14ac:dyDescent="0.45">
      <c r="A67">
        <v>10066</v>
      </c>
      <c r="B67" s="2" t="str">
        <f>TEXT(Table1[[#This Row],[EmployeeNo]],"#####")</f>
        <v>10066</v>
      </c>
      <c r="C67" t="s">
        <v>142</v>
      </c>
      <c r="D67" s="1">
        <v>31878</v>
      </c>
      <c r="E67" t="s">
        <v>11</v>
      </c>
      <c r="F67" s="1">
        <v>42333</v>
      </c>
      <c r="G67" t="s">
        <v>143</v>
      </c>
      <c r="H67" t="s">
        <v>23</v>
      </c>
      <c r="I67" s="4">
        <v>41409.57</v>
      </c>
      <c r="J67" t="s">
        <v>214</v>
      </c>
      <c r="K67" t="s">
        <v>218</v>
      </c>
    </row>
    <row r="68" spans="1:11" x14ac:dyDescent="0.45">
      <c r="A68">
        <v>10067</v>
      </c>
      <c r="B68" s="2" t="str">
        <f>TEXT(Table1[[#This Row],[EmployeeNo]],"#####")</f>
        <v>10067</v>
      </c>
      <c r="C68" t="s">
        <v>144</v>
      </c>
      <c r="D68" s="1">
        <v>33701</v>
      </c>
      <c r="E68" t="s">
        <v>17</v>
      </c>
      <c r="F68" s="1">
        <v>43992</v>
      </c>
      <c r="G68" t="s">
        <v>145</v>
      </c>
      <c r="H68" t="s">
        <v>6</v>
      </c>
      <c r="I68" s="4">
        <v>51542.61</v>
      </c>
      <c r="J68" t="s">
        <v>215</v>
      </c>
      <c r="K68" t="s">
        <v>216</v>
      </c>
    </row>
    <row r="69" spans="1:11" x14ac:dyDescent="0.45">
      <c r="A69">
        <v>10068</v>
      </c>
      <c r="B69" s="2" t="str">
        <f>TEXT(Table1[[#This Row],[EmployeeNo]],"#####")</f>
        <v>10068</v>
      </c>
      <c r="C69" t="s">
        <v>146</v>
      </c>
      <c r="D69" s="1">
        <v>30717</v>
      </c>
      <c r="E69" t="s">
        <v>4</v>
      </c>
      <c r="F69" s="1">
        <v>41746</v>
      </c>
      <c r="G69" t="s">
        <v>147</v>
      </c>
      <c r="H69" t="s">
        <v>23</v>
      </c>
      <c r="I69" s="4">
        <v>82455.09</v>
      </c>
      <c r="J69" t="s">
        <v>215</v>
      </c>
      <c r="K69" t="s">
        <v>217</v>
      </c>
    </row>
    <row r="70" spans="1:11" x14ac:dyDescent="0.45">
      <c r="A70">
        <v>10069</v>
      </c>
      <c r="B70" s="2" t="str">
        <f>TEXT(Table1[[#This Row],[EmployeeNo]],"#####")</f>
        <v>10069</v>
      </c>
      <c r="C70" t="s">
        <v>148</v>
      </c>
      <c r="D70" s="1">
        <v>24487</v>
      </c>
      <c r="E70" t="s">
        <v>4</v>
      </c>
      <c r="F70" s="1">
        <v>43416</v>
      </c>
      <c r="G70" t="s">
        <v>149</v>
      </c>
      <c r="H70" t="s">
        <v>30</v>
      </c>
      <c r="I70" s="4">
        <v>94325.19</v>
      </c>
      <c r="J70" t="s">
        <v>214</v>
      </c>
      <c r="K70" t="s">
        <v>218</v>
      </c>
    </row>
    <row r="71" spans="1:11" x14ac:dyDescent="0.45">
      <c r="A71">
        <v>10070</v>
      </c>
      <c r="B71" s="2" t="str">
        <f>TEXT(Table1[[#This Row],[EmployeeNo]],"#####")</f>
        <v>10070</v>
      </c>
      <c r="C71" t="s">
        <v>150</v>
      </c>
      <c r="D71" s="1">
        <v>35505</v>
      </c>
      <c r="E71" t="s">
        <v>4</v>
      </c>
      <c r="F71" s="1">
        <v>44580</v>
      </c>
      <c r="G71" t="s">
        <v>151</v>
      </c>
      <c r="H71" t="s">
        <v>13</v>
      </c>
      <c r="I71" s="4">
        <v>92164.51</v>
      </c>
      <c r="J71" t="s">
        <v>214</v>
      </c>
      <c r="K71" t="s">
        <v>216</v>
      </c>
    </row>
    <row r="72" spans="1:11" x14ac:dyDescent="0.45">
      <c r="A72">
        <v>10071</v>
      </c>
      <c r="B72" s="2" t="str">
        <f>TEXT(Table1[[#This Row],[EmployeeNo]],"#####")</f>
        <v>10071</v>
      </c>
      <c r="C72" t="s">
        <v>152</v>
      </c>
      <c r="D72" s="1">
        <v>31506</v>
      </c>
      <c r="E72" t="s">
        <v>4</v>
      </c>
      <c r="F72" s="1">
        <v>45364</v>
      </c>
      <c r="G72" t="s">
        <v>153</v>
      </c>
      <c r="H72" t="s">
        <v>23</v>
      </c>
      <c r="I72" s="4">
        <v>40388.42</v>
      </c>
      <c r="J72" t="s">
        <v>215</v>
      </c>
      <c r="K72" t="s">
        <v>217</v>
      </c>
    </row>
    <row r="73" spans="1:11" x14ac:dyDescent="0.45">
      <c r="A73">
        <v>10072</v>
      </c>
      <c r="B73" s="2" t="str">
        <f>TEXT(Table1[[#This Row],[EmployeeNo]],"#####")</f>
        <v>10072</v>
      </c>
      <c r="C73" t="s">
        <v>154</v>
      </c>
      <c r="D73" s="1">
        <v>35475</v>
      </c>
      <c r="E73" t="s">
        <v>17</v>
      </c>
      <c r="F73" s="1">
        <v>44843</v>
      </c>
      <c r="G73" t="s">
        <v>155</v>
      </c>
      <c r="H73" t="s">
        <v>30</v>
      </c>
      <c r="I73" s="4">
        <v>91275.85</v>
      </c>
      <c r="J73" t="s">
        <v>215</v>
      </c>
      <c r="K73" t="s">
        <v>218</v>
      </c>
    </row>
    <row r="74" spans="1:11" x14ac:dyDescent="0.45">
      <c r="A74">
        <v>10073</v>
      </c>
      <c r="B74" s="2" t="str">
        <f>TEXT(Table1[[#This Row],[EmployeeNo]],"#####")</f>
        <v>10073</v>
      </c>
      <c r="C74" t="s">
        <v>156</v>
      </c>
      <c r="D74" s="1">
        <v>24844</v>
      </c>
      <c r="E74" t="s">
        <v>4</v>
      </c>
      <c r="F74" s="1">
        <v>43558</v>
      </c>
      <c r="G74" t="s">
        <v>157</v>
      </c>
      <c r="H74" t="s">
        <v>23</v>
      </c>
      <c r="I74" s="4">
        <v>64760.74</v>
      </c>
      <c r="J74" t="s">
        <v>214</v>
      </c>
      <c r="K74" t="s">
        <v>216</v>
      </c>
    </row>
    <row r="75" spans="1:11" x14ac:dyDescent="0.45">
      <c r="A75">
        <v>10074</v>
      </c>
      <c r="B75" s="2" t="str">
        <f>TEXT(Table1[[#This Row],[EmployeeNo]],"#####")</f>
        <v>10074</v>
      </c>
      <c r="C75" t="s">
        <v>158</v>
      </c>
      <c r="D75" s="1">
        <v>24557</v>
      </c>
      <c r="E75" t="s">
        <v>11</v>
      </c>
      <c r="F75" s="1">
        <v>45098</v>
      </c>
      <c r="G75" t="s">
        <v>159</v>
      </c>
      <c r="H75" t="s">
        <v>23</v>
      </c>
      <c r="I75" s="4">
        <v>83798.59</v>
      </c>
      <c r="J75" t="s">
        <v>214</v>
      </c>
      <c r="K75" t="s">
        <v>217</v>
      </c>
    </row>
    <row r="76" spans="1:11" x14ac:dyDescent="0.45">
      <c r="A76">
        <v>10075</v>
      </c>
      <c r="B76" s="2" t="str">
        <f>TEXT(Table1[[#This Row],[EmployeeNo]],"#####")</f>
        <v>10075</v>
      </c>
      <c r="C76" t="s">
        <v>160</v>
      </c>
      <c r="D76" s="1">
        <v>36265</v>
      </c>
      <c r="E76" t="s">
        <v>4</v>
      </c>
      <c r="F76" s="1">
        <v>41978</v>
      </c>
      <c r="G76" t="s">
        <v>161</v>
      </c>
      <c r="H76" t="s">
        <v>6</v>
      </c>
      <c r="I76" s="4">
        <v>51287.57</v>
      </c>
      <c r="J76" t="s">
        <v>215</v>
      </c>
      <c r="K76" t="s">
        <v>218</v>
      </c>
    </row>
    <row r="77" spans="1:11" x14ac:dyDescent="0.45">
      <c r="A77">
        <v>10076</v>
      </c>
      <c r="B77" s="2" t="str">
        <f>TEXT(Table1[[#This Row],[EmployeeNo]],"#####")</f>
        <v>10076</v>
      </c>
      <c r="C77" t="s">
        <v>162</v>
      </c>
      <c r="D77" s="1">
        <v>25158</v>
      </c>
      <c r="E77" t="s">
        <v>4</v>
      </c>
      <c r="F77" s="1">
        <v>41988</v>
      </c>
      <c r="G77" t="s">
        <v>163</v>
      </c>
      <c r="H77" t="s">
        <v>6</v>
      </c>
      <c r="I77" s="4">
        <v>64066.57</v>
      </c>
      <c r="J77" t="s">
        <v>215</v>
      </c>
      <c r="K77" t="s">
        <v>216</v>
      </c>
    </row>
    <row r="78" spans="1:11" x14ac:dyDescent="0.45">
      <c r="A78">
        <v>10077</v>
      </c>
      <c r="B78" s="2" t="str">
        <f>TEXT(Table1[[#This Row],[EmployeeNo]],"#####")</f>
        <v>10077</v>
      </c>
      <c r="C78" t="s">
        <v>164</v>
      </c>
      <c r="D78" s="1">
        <v>33728</v>
      </c>
      <c r="E78" t="s">
        <v>17</v>
      </c>
      <c r="F78" s="1">
        <v>42973</v>
      </c>
      <c r="G78" t="s">
        <v>165</v>
      </c>
      <c r="H78" t="s">
        <v>13</v>
      </c>
      <c r="I78" s="4">
        <v>79760.149999999994</v>
      </c>
      <c r="J78" t="s">
        <v>214</v>
      </c>
      <c r="K78" t="s">
        <v>217</v>
      </c>
    </row>
    <row r="79" spans="1:11" x14ac:dyDescent="0.45">
      <c r="A79">
        <v>10078</v>
      </c>
      <c r="B79" s="2" t="str">
        <f>TEXT(Table1[[#This Row],[EmployeeNo]],"#####")</f>
        <v>10078</v>
      </c>
      <c r="C79" t="s">
        <v>166</v>
      </c>
      <c r="D79" s="1">
        <v>21988</v>
      </c>
      <c r="E79" t="s">
        <v>11</v>
      </c>
      <c r="F79" s="1">
        <v>43147</v>
      </c>
      <c r="G79" t="s">
        <v>167</v>
      </c>
      <c r="H79" t="s">
        <v>30</v>
      </c>
      <c r="I79" s="4">
        <v>71236.69</v>
      </c>
      <c r="J79" t="s">
        <v>214</v>
      </c>
      <c r="K79" t="s">
        <v>218</v>
      </c>
    </row>
    <row r="80" spans="1:11" x14ac:dyDescent="0.45">
      <c r="A80">
        <v>10079</v>
      </c>
      <c r="B80" s="2" t="str">
        <f>TEXT(Table1[[#This Row],[EmployeeNo]],"#####")</f>
        <v>10079</v>
      </c>
      <c r="C80" t="s">
        <v>168</v>
      </c>
      <c r="D80" s="1">
        <v>32150</v>
      </c>
      <c r="E80" t="s">
        <v>17</v>
      </c>
      <c r="F80" s="1">
        <v>42674</v>
      </c>
      <c r="G80" t="s">
        <v>169</v>
      </c>
      <c r="H80" t="s">
        <v>71</v>
      </c>
      <c r="I80" s="4">
        <v>70585.53</v>
      </c>
      <c r="J80" t="s">
        <v>215</v>
      </c>
      <c r="K80" t="s">
        <v>216</v>
      </c>
    </row>
    <row r="81" spans="1:11" x14ac:dyDescent="0.45">
      <c r="A81">
        <v>10080</v>
      </c>
      <c r="B81" s="2" t="str">
        <f>TEXT(Table1[[#This Row],[EmployeeNo]],"#####")</f>
        <v>10080</v>
      </c>
      <c r="C81" t="s">
        <v>170</v>
      </c>
      <c r="D81" s="1">
        <v>22818</v>
      </c>
      <c r="E81" t="s">
        <v>4</v>
      </c>
      <c r="F81" s="1">
        <v>43572</v>
      </c>
      <c r="G81" t="s">
        <v>171</v>
      </c>
      <c r="H81" t="s">
        <v>23</v>
      </c>
      <c r="I81" s="4">
        <v>77124.92</v>
      </c>
      <c r="J81" t="s">
        <v>215</v>
      </c>
      <c r="K81" t="s">
        <v>217</v>
      </c>
    </row>
    <row r="82" spans="1:11" x14ac:dyDescent="0.45">
      <c r="A82">
        <v>10081</v>
      </c>
      <c r="B82" s="2" t="str">
        <f>TEXT(Table1[[#This Row],[EmployeeNo]],"#####")</f>
        <v>10081</v>
      </c>
      <c r="C82" t="s">
        <v>172</v>
      </c>
      <c r="D82" s="1">
        <v>28803</v>
      </c>
      <c r="E82" t="s">
        <v>17</v>
      </c>
      <c r="F82" s="1">
        <v>43205</v>
      </c>
      <c r="G82" t="s">
        <v>173</v>
      </c>
      <c r="H82" t="s">
        <v>9</v>
      </c>
      <c r="I82" s="4">
        <v>97806.89</v>
      </c>
      <c r="J82" t="s">
        <v>214</v>
      </c>
      <c r="K82" t="s">
        <v>218</v>
      </c>
    </row>
    <row r="83" spans="1:11" x14ac:dyDescent="0.45">
      <c r="A83">
        <v>10082</v>
      </c>
      <c r="B83" s="2" t="str">
        <f>TEXT(Table1[[#This Row],[EmployeeNo]],"#####")</f>
        <v>10082</v>
      </c>
      <c r="C83" t="s">
        <v>174</v>
      </c>
      <c r="D83" s="1">
        <v>38034</v>
      </c>
      <c r="E83" t="s">
        <v>4</v>
      </c>
      <c r="F83" s="1">
        <v>43738</v>
      </c>
      <c r="G83" t="s">
        <v>175</v>
      </c>
      <c r="H83" t="s">
        <v>23</v>
      </c>
      <c r="I83" s="4">
        <v>58386.22</v>
      </c>
      <c r="J83" t="s">
        <v>214</v>
      </c>
      <c r="K83" t="s">
        <v>216</v>
      </c>
    </row>
    <row r="84" spans="1:11" x14ac:dyDescent="0.45">
      <c r="A84">
        <v>10083</v>
      </c>
      <c r="B84" s="2" t="str">
        <f>TEXT(Table1[[#This Row],[EmployeeNo]],"#####")</f>
        <v>10083</v>
      </c>
      <c r="C84" t="s">
        <v>176</v>
      </c>
      <c r="D84" s="1">
        <v>34768</v>
      </c>
      <c r="E84" t="s">
        <v>17</v>
      </c>
      <c r="F84" s="1">
        <v>45308</v>
      </c>
      <c r="G84" t="s">
        <v>177</v>
      </c>
      <c r="H84" t="s">
        <v>6</v>
      </c>
      <c r="I84" s="4">
        <v>39439.79</v>
      </c>
      <c r="J84" t="s">
        <v>215</v>
      </c>
      <c r="K84" t="s">
        <v>217</v>
      </c>
    </row>
    <row r="85" spans="1:11" x14ac:dyDescent="0.45">
      <c r="A85">
        <v>10084</v>
      </c>
      <c r="B85" s="2" t="str">
        <f>TEXT(Table1[[#This Row],[EmployeeNo]],"#####")</f>
        <v>10084</v>
      </c>
      <c r="C85" t="s">
        <v>178</v>
      </c>
      <c r="D85" s="1">
        <v>25687</v>
      </c>
      <c r="E85" t="s">
        <v>17</v>
      </c>
      <c r="F85" s="1">
        <v>43264</v>
      </c>
      <c r="G85" t="s">
        <v>179</v>
      </c>
      <c r="H85" t="s">
        <v>30</v>
      </c>
      <c r="I85" s="4">
        <v>84093.78</v>
      </c>
      <c r="J85" t="s">
        <v>215</v>
      </c>
      <c r="K85" t="s">
        <v>218</v>
      </c>
    </row>
    <row r="86" spans="1:11" x14ac:dyDescent="0.45">
      <c r="A86">
        <v>10085</v>
      </c>
      <c r="B86" s="2" t="str">
        <f>TEXT(Table1[[#This Row],[EmployeeNo]],"#####")</f>
        <v>10085</v>
      </c>
      <c r="C86" t="s">
        <v>180</v>
      </c>
      <c r="D86" s="1">
        <v>25904</v>
      </c>
      <c r="E86" t="s">
        <v>11</v>
      </c>
      <c r="F86" s="1">
        <v>44009</v>
      </c>
      <c r="G86" t="s">
        <v>181</v>
      </c>
      <c r="H86" t="s">
        <v>30</v>
      </c>
      <c r="I86" s="4">
        <v>48839.82</v>
      </c>
      <c r="J86" t="s">
        <v>214</v>
      </c>
      <c r="K86" t="s">
        <v>216</v>
      </c>
    </row>
    <row r="87" spans="1:11" x14ac:dyDescent="0.45">
      <c r="A87">
        <v>10086</v>
      </c>
      <c r="B87" s="2" t="str">
        <f>TEXT(Table1[[#This Row],[EmployeeNo]],"#####")</f>
        <v>10086</v>
      </c>
      <c r="C87" t="s">
        <v>182</v>
      </c>
      <c r="D87" s="1">
        <v>21502</v>
      </c>
      <c r="E87" t="s">
        <v>11</v>
      </c>
      <c r="F87" s="1">
        <v>43411</v>
      </c>
      <c r="G87" t="s">
        <v>183</v>
      </c>
      <c r="H87" t="s">
        <v>9</v>
      </c>
      <c r="I87" s="4">
        <v>47003.15</v>
      </c>
      <c r="J87" t="s">
        <v>214</v>
      </c>
      <c r="K87" t="s">
        <v>217</v>
      </c>
    </row>
    <row r="88" spans="1:11" x14ac:dyDescent="0.45">
      <c r="A88">
        <v>10087</v>
      </c>
      <c r="B88" s="2" t="str">
        <f>TEXT(Table1[[#This Row],[EmployeeNo]],"#####")</f>
        <v>10087</v>
      </c>
      <c r="C88" t="s">
        <v>184</v>
      </c>
      <c r="D88" s="1">
        <v>31159</v>
      </c>
      <c r="E88" t="s">
        <v>4</v>
      </c>
      <c r="F88" s="1">
        <v>44739</v>
      </c>
      <c r="G88" t="s">
        <v>185</v>
      </c>
      <c r="H88" t="s">
        <v>13</v>
      </c>
      <c r="I88" s="4">
        <v>93264</v>
      </c>
      <c r="J88" t="s">
        <v>215</v>
      </c>
      <c r="K88" t="s">
        <v>218</v>
      </c>
    </row>
    <row r="89" spans="1:11" x14ac:dyDescent="0.45">
      <c r="A89">
        <v>10088</v>
      </c>
      <c r="B89" s="2" t="str">
        <f>TEXT(Table1[[#This Row],[EmployeeNo]],"#####")</f>
        <v>10088</v>
      </c>
      <c r="C89" t="s">
        <v>186</v>
      </c>
      <c r="D89" s="1">
        <v>24744</v>
      </c>
      <c r="E89" t="s">
        <v>11</v>
      </c>
      <c r="F89" s="1">
        <v>41881</v>
      </c>
      <c r="G89" t="s">
        <v>187</v>
      </c>
      <c r="H89" t="s">
        <v>6</v>
      </c>
      <c r="I89" s="4">
        <v>76398.3</v>
      </c>
      <c r="J89" t="s">
        <v>215</v>
      </c>
      <c r="K89" t="s">
        <v>216</v>
      </c>
    </row>
    <row r="90" spans="1:11" x14ac:dyDescent="0.45">
      <c r="A90">
        <v>10089</v>
      </c>
      <c r="B90" s="2" t="str">
        <f>TEXT(Table1[[#This Row],[EmployeeNo]],"#####")</f>
        <v>10089</v>
      </c>
      <c r="C90" t="s">
        <v>188</v>
      </c>
      <c r="D90" s="1">
        <v>33084</v>
      </c>
      <c r="E90" t="s">
        <v>4</v>
      </c>
      <c r="F90" s="1">
        <v>43399</v>
      </c>
      <c r="G90" t="s">
        <v>189</v>
      </c>
      <c r="H90" t="s">
        <v>71</v>
      </c>
      <c r="I90" s="4">
        <v>87605.27</v>
      </c>
      <c r="J90" t="s">
        <v>214</v>
      </c>
      <c r="K90" t="s">
        <v>217</v>
      </c>
    </row>
    <row r="91" spans="1:11" x14ac:dyDescent="0.45">
      <c r="A91">
        <v>10090</v>
      </c>
      <c r="B91" s="2" t="str">
        <f>TEXT(Table1[[#This Row],[EmployeeNo]],"#####")</f>
        <v>10090</v>
      </c>
      <c r="C91" t="s">
        <v>190</v>
      </c>
      <c r="D91" s="1">
        <v>24583</v>
      </c>
      <c r="E91" t="s">
        <v>17</v>
      </c>
      <c r="F91" s="1">
        <v>43001</v>
      </c>
      <c r="G91" t="s">
        <v>191</v>
      </c>
      <c r="H91" t="s">
        <v>6</v>
      </c>
      <c r="I91" s="4">
        <v>80964.33</v>
      </c>
      <c r="J91" t="s">
        <v>214</v>
      </c>
      <c r="K91" t="s">
        <v>218</v>
      </c>
    </row>
    <row r="92" spans="1:11" x14ac:dyDescent="0.45">
      <c r="A92">
        <v>10091</v>
      </c>
      <c r="B92" s="2" t="str">
        <f>TEXT(Table1[[#This Row],[EmployeeNo]],"#####")</f>
        <v>10091</v>
      </c>
      <c r="C92" t="s">
        <v>192</v>
      </c>
      <c r="D92" s="1">
        <v>22269</v>
      </c>
      <c r="E92" t="s">
        <v>4</v>
      </c>
      <c r="F92" s="1">
        <v>43142</v>
      </c>
      <c r="G92" t="s">
        <v>193</v>
      </c>
      <c r="H92" t="s">
        <v>6</v>
      </c>
      <c r="I92" s="4">
        <v>66963.539999999994</v>
      </c>
      <c r="J92" t="s">
        <v>215</v>
      </c>
      <c r="K92" t="s">
        <v>216</v>
      </c>
    </row>
    <row r="93" spans="1:11" x14ac:dyDescent="0.45">
      <c r="A93">
        <v>10092</v>
      </c>
      <c r="B93" s="2" t="str">
        <f>TEXT(Table1[[#This Row],[EmployeeNo]],"#####")</f>
        <v>10092</v>
      </c>
      <c r="C93" t="s">
        <v>194</v>
      </c>
      <c r="D93" s="1">
        <v>30414</v>
      </c>
      <c r="E93" t="s">
        <v>17</v>
      </c>
      <c r="F93" s="1">
        <v>43351</v>
      </c>
      <c r="G93" t="s">
        <v>195</v>
      </c>
      <c r="H93" t="s">
        <v>9</v>
      </c>
      <c r="I93" s="4">
        <v>87401.17</v>
      </c>
      <c r="J93" t="s">
        <v>215</v>
      </c>
      <c r="K93" t="s">
        <v>217</v>
      </c>
    </row>
    <row r="94" spans="1:11" x14ac:dyDescent="0.45">
      <c r="A94">
        <v>10093</v>
      </c>
      <c r="B94" s="2" t="str">
        <f>TEXT(Table1[[#This Row],[EmployeeNo]],"#####")</f>
        <v>10093</v>
      </c>
      <c r="C94" t="s">
        <v>196</v>
      </c>
      <c r="D94" s="1">
        <v>36026</v>
      </c>
      <c r="E94" t="s">
        <v>17</v>
      </c>
      <c r="F94" s="1">
        <v>42701</v>
      </c>
      <c r="G94" t="s">
        <v>197</v>
      </c>
      <c r="H94" t="s">
        <v>9</v>
      </c>
      <c r="I94" s="4">
        <v>43850.74</v>
      </c>
      <c r="J94" t="s">
        <v>214</v>
      </c>
      <c r="K94" t="s">
        <v>218</v>
      </c>
    </row>
    <row r="95" spans="1:11" x14ac:dyDescent="0.45">
      <c r="A95">
        <v>10094</v>
      </c>
      <c r="B95" s="2" t="str">
        <f>TEXT(Table1[[#This Row],[EmployeeNo]],"#####")</f>
        <v>10094</v>
      </c>
      <c r="C95" t="s">
        <v>198</v>
      </c>
      <c r="D95" s="1">
        <v>35114</v>
      </c>
      <c r="E95" t="s">
        <v>11</v>
      </c>
      <c r="F95" s="1">
        <v>42075</v>
      </c>
      <c r="G95" t="s">
        <v>199</v>
      </c>
      <c r="H95" t="s">
        <v>30</v>
      </c>
      <c r="I95" s="4">
        <v>45964.9</v>
      </c>
      <c r="J95" t="s">
        <v>214</v>
      </c>
      <c r="K95" t="s">
        <v>216</v>
      </c>
    </row>
    <row r="96" spans="1:11" x14ac:dyDescent="0.45">
      <c r="A96">
        <v>10095</v>
      </c>
      <c r="B96" s="2" t="str">
        <f>TEXT(Table1[[#This Row],[EmployeeNo]],"#####")</f>
        <v>10095</v>
      </c>
      <c r="C96" t="s">
        <v>200</v>
      </c>
      <c r="D96" s="1">
        <v>24645</v>
      </c>
      <c r="E96" t="s">
        <v>4</v>
      </c>
      <c r="F96" s="1">
        <v>42664</v>
      </c>
      <c r="G96" t="s">
        <v>201</v>
      </c>
      <c r="H96" t="s">
        <v>9</v>
      </c>
      <c r="I96" s="4">
        <v>99540.31</v>
      </c>
      <c r="J96" t="s">
        <v>215</v>
      </c>
      <c r="K96" t="s">
        <v>217</v>
      </c>
    </row>
    <row r="97" spans="1:11" x14ac:dyDescent="0.45">
      <c r="A97">
        <v>10096</v>
      </c>
      <c r="B97" s="2" t="str">
        <f>TEXT(Table1[[#This Row],[EmployeeNo]],"#####")</f>
        <v>10096</v>
      </c>
      <c r="C97" t="s">
        <v>202</v>
      </c>
      <c r="D97" s="1">
        <v>28850</v>
      </c>
      <c r="E97" t="s">
        <v>4</v>
      </c>
      <c r="F97" s="1">
        <v>42876</v>
      </c>
      <c r="G97" t="s">
        <v>203</v>
      </c>
      <c r="H97" t="s">
        <v>9</v>
      </c>
      <c r="I97" s="4">
        <v>55639.91</v>
      </c>
      <c r="J97" t="s">
        <v>215</v>
      </c>
      <c r="K97" t="s">
        <v>218</v>
      </c>
    </row>
    <row r="98" spans="1:11" x14ac:dyDescent="0.45">
      <c r="A98">
        <v>10097</v>
      </c>
      <c r="B98" s="2" t="str">
        <f>TEXT(Table1[[#This Row],[EmployeeNo]],"#####")</f>
        <v>10097</v>
      </c>
      <c r="C98" t="s">
        <v>204</v>
      </c>
      <c r="D98" s="1">
        <v>25240</v>
      </c>
      <c r="E98" t="s">
        <v>4</v>
      </c>
      <c r="F98" s="1">
        <v>44017</v>
      </c>
      <c r="G98" t="s">
        <v>205</v>
      </c>
      <c r="H98" t="s">
        <v>13</v>
      </c>
      <c r="I98" s="4">
        <v>74476.429999999993</v>
      </c>
      <c r="J98" t="s">
        <v>214</v>
      </c>
      <c r="K98" t="s">
        <v>216</v>
      </c>
    </row>
    <row r="99" spans="1:11" x14ac:dyDescent="0.45">
      <c r="A99">
        <v>10098</v>
      </c>
      <c r="B99" s="2" t="str">
        <f>TEXT(Table1[[#This Row],[EmployeeNo]],"#####")</f>
        <v>10098</v>
      </c>
      <c r="C99" t="s">
        <v>206</v>
      </c>
      <c r="D99" s="1">
        <v>27395</v>
      </c>
      <c r="E99" t="s">
        <v>4</v>
      </c>
      <c r="F99" s="1">
        <v>45307</v>
      </c>
      <c r="G99" t="s">
        <v>207</v>
      </c>
      <c r="H99" t="s">
        <v>71</v>
      </c>
      <c r="I99" s="4">
        <v>58543.02</v>
      </c>
      <c r="J99" t="s">
        <v>214</v>
      </c>
      <c r="K99" t="s">
        <v>217</v>
      </c>
    </row>
    <row r="100" spans="1:11" x14ac:dyDescent="0.45">
      <c r="A100">
        <v>10099</v>
      </c>
      <c r="B100" s="2" t="str">
        <f>TEXT(Table1[[#This Row],[EmployeeNo]],"#####")</f>
        <v>10099</v>
      </c>
      <c r="C100" t="s">
        <v>208</v>
      </c>
      <c r="D100" s="1">
        <v>23811</v>
      </c>
      <c r="E100" t="s">
        <v>11</v>
      </c>
      <c r="F100" s="1">
        <v>44895</v>
      </c>
      <c r="G100" t="s">
        <v>209</v>
      </c>
      <c r="H100" t="s">
        <v>6</v>
      </c>
      <c r="I100" s="4">
        <v>55186.59</v>
      </c>
      <c r="J100" t="s">
        <v>215</v>
      </c>
      <c r="K100" t="s">
        <v>218</v>
      </c>
    </row>
    <row r="101" spans="1:11" x14ac:dyDescent="0.45">
      <c r="A101">
        <v>10100</v>
      </c>
      <c r="B101" s="2" t="str">
        <f>TEXT(Table1[[#This Row],[EmployeeNo]],"#####")</f>
        <v>10100</v>
      </c>
      <c r="C101" t="s">
        <v>210</v>
      </c>
      <c r="D101" s="1">
        <v>38582</v>
      </c>
      <c r="E101" t="s">
        <v>4</v>
      </c>
      <c r="F101" s="1">
        <v>43185</v>
      </c>
      <c r="G101" t="s">
        <v>211</v>
      </c>
      <c r="H101" t="s">
        <v>13</v>
      </c>
      <c r="I101" s="4">
        <v>87297.279999999999</v>
      </c>
      <c r="J101" t="s">
        <v>215</v>
      </c>
      <c r="K101" t="s">
        <v>216</v>
      </c>
    </row>
    <row r="102" spans="1:11" x14ac:dyDescent="0.45">
      <c r="A102">
        <v>10102</v>
      </c>
      <c r="B102" s="2" t="str">
        <f>TEXT(Table1[[#This Row],[EmployeeNo]],"#####")</f>
        <v>10102</v>
      </c>
      <c r="C102" t="s">
        <v>221</v>
      </c>
      <c r="D102" s="1" t="s">
        <v>222</v>
      </c>
      <c r="E102" t="s">
        <v>4</v>
      </c>
      <c r="F102" s="1">
        <v>42801</v>
      </c>
      <c r="G102" t="s">
        <v>5</v>
      </c>
      <c r="H102" t="s">
        <v>30</v>
      </c>
      <c r="I102" s="4">
        <v>39006.82</v>
      </c>
      <c r="J102" t="s">
        <v>214</v>
      </c>
      <c r="K102" t="s">
        <v>216</v>
      </c>
    </row>
    <row r="103" spans="1:11" x14ac:dyDescent="0.45">
      <c r="A103">
        <v>10103</v>
      </c>
      <c r="B103" s="2" t="str">
        <f>TEXT(Table1[[#This Row],[EmployeeNo]],"#####")</f>
        <v>10103</v>
      </c>
      <c r="C103" t="s">
        <v>221</v>
      </c>
      <c r="D103" s="1" t="s">
        <v>222</v>
      </c>
      <c r="E103" t="s">
        <v>4</v>
      </c>
      <c r="F103" s="1">
        <v>42801</v>
      </c>
      <c r="G103" t="s">
        <v>5</v>
      </c>
      <c r="H103" t="s">
        <v>6</v>
      </c>
      <c r="I103" s="4">
        <v>39006.82</v>
      </c>
      <c r="J103" t="s">
        <v>215</v>
      </c>
      <c r="K103" t="s">
        <v>216</v>
      </c>
    </row>
    <row r="104" spans="1:11" x14ac:dyDescent="0.45">
      <c r="A104">
        <v>10104</v>
      </c>
      <c r="B104" s="2" t="str">
        <f>TEXT(Table1[[#This Row],[EmployeeNo]],"#####")</f>
        <v>10104</v>
      </c>
      <c r="C104" t="s">
        <v>223</v>
      </c>
      <c r="E104" t="s">
        <v>4</v>
      </c>
      <c r="F104" s="1">
        <v>43865</v>
      </c>
      <c r="G104" t="s">
        <v>15</v>
      </c>
      <c r="H104" t="s">
        <v>9</v>
      </c>
      <c r="I104" s="4">
        <v>64383.08</v>
      </c>
      <c r="J104" t="s">
        <v>215</v>
      </c>
      <c r="K104" t="s">
        <v>216</v>
      </c>
    </row>
    <row r="105" spans="1:11" x14ac:dyDescent="0.45">
      <c r="A105">
        <v>10105</v>
      </c>
      <c r="B105" s="2" t="str">
        <f>TEXT(Table1[[#This Row],[EmployeeNo]],"#####")</f>
        <v>10105</v>
      </c>
      <c r="C105" t="s">
        <v>224</v>
      </c>
      <c r="D105" s="1">
        <v>28676</v>
      </c>
      <c r="E105" t="s">
        <v>4</v>
      </c>
      <c r="F105" s="1" t="s">
        <v>225</v>
      </c>
      <c r="G105" t="s">
        <v>22</v>
      </c>
      <c r="H105" t="s">
        <v>23</v>
      </c>
      <c r="I105" s="4">
        <v>74318.710000000006</v>
      </c>
      <c r="J105" t="s">
        <v>215</v>
      </c>
      <c r="K105" t="s">
        <v>216</v>
      </c>
    </row>
    <row r="106" spans="1:11" x14ac:dyDescent="0.45">
      <c r="A106">
        <v>10106</v>
      </c>
      <c r="B106" s="2" t="str">
        <f>TEXT(Table1[[#This Row],[EmployeeNo]],"#####")</f>
        <v>10106</v>
      </c>
      <c r="C106" t="s">
        <v>226</v>
      </c>
      <c r="D106" s="1">
        <v>35665</v>
      </c>
      <c r="E106" t="s">
        <v>4</v>
      </c>
      <c r="F106" s="1">
        <v>43923</v>
      </c>
      <c r="G106" t="s">
        <v>15</v>
      </c>
      <c r="H106" t="s">
        <v>9</v>
      </c>
      <c r="I106" s="4">
        <v>64383.08</v>
      </c>
      <c r="J106" t="s">
        <v>215</v>
      </c>
      <c r="K106" t="s">
        <v>216</v>
      </c>
    </row>
    <row r="107" spans="1:11" x14ac:dyDescent="0.45">
      <c r="A107">
        <v>10107</v>
      </c>
      <c r="B107" s="2" t="str">
        <f>TEXT(Table1[[#This Row],[EmployeeNo]],"#####")</f>
        <v>10107</v>
      </c>
      <c r="C107" t="s">
        <v>227</v>
      </c>
      <c r="D107" s="1">
        <v>27681</v>
      </c>
      <c r="E107" t="s">
        <v>17</v>
      </c>
      <c r="F107" s="1">
        <v>42479</v>
      </c>
      <c r="G107" t="s">
        <v>18</v>
      </c>
      <c r="H107" t="s">
        <v>13</v>
      </c>
      <c r="I107" s="4">
        <v>55375.9</v>
      </c>
      <c r="J107" t="s">
        <v>214</v>
      </c>
      <c r="K107" t="s">
        <v>218</v>
      </c>
    </row>
    <row r="108" spans="1:11" x14ac:dyDescent="0.45">
      <c r="A108">
        <v>10108</v>
      </c>
      <c r="B108" s="2" t="str">
        <f>TEXT(Table1[[#This Row],[EmployeeNo]],"#####")</f>
        <v>10108</v>
      </c>
      <c r="C108" t="s">
        <v>228</v>
      </c>
      <c r="D108" s="1">
        <v>27171</v>
      </c>
      <c r="E108" t="s">
        <v>4</v>
      </c>
      <c r="F108" s="1">
        <v>44650</v>
      </c>
      <c r="G108" t="s">
        <v>20</v>
      </c>
      <c r="H108" t="s">
        <v>9</v>
      </c>
      <c r="I108" s="4">
        <v>39936.71</v>
      </c>
      <c r="J108" t="s">
        <v>214</v>
      </c>
      <c r="K108" t="s">
        <v>217</v>
      </c>
    </row>
    <row r="109" spans="1:11" x14ac:dyDescent="0.45">
      <c r="A109">
        <v>10109</v>
      </c>
      <c r="B109" s="2" t="str">
        <f>TEXT(Table1[[#This Row],[EmployeeNo]],"#####")</f>
        <v>10109</v>
      </c>
      <c r="C109" t="s">
        <v>229</v>
      </c>
      <c r="D109" s="1">
        <v>24876</v>
      </c>
      <c r="E109" t="s">
        <v>4</v>
      </c>
      <c r="F109" s="1">
        <v>44633</v>
      </c>
      <c r="G109" t="s">
        <v>27</v>
      </c>
      <c r="H109" t="s">
        <v>13</v>
      </c>
      <c r="I109" s="4">
        <v>48750.54</v>
      </c>
      <c r="J109" t="s">
        <v>214</v>
      </c>
      <c r="K109" t="s">
        <v>217</v>
      </c>
    </row>
    <row r="110" spans="1:11" x14ac:dyDescent="0.45">
      <c r="A110">
        <v>10110</v>
      </c>
      <c r="B110" s="2" t="s">
        <v>230</v>
      </c>
      <c r="C110" t="s">
        <v>24</v>
      </c>
      <c r="D110" s="1">
        <v>36187</v>
      </c>
      <c r="E110" t="s">
        <v>11</v>
      </c>
      <c r="F110" s="1">
        <v>42137</v>
      </c>
      <c r="G110" t="s">
        <v>25</v>
      </c>
      <c r="H110" t="s">
        <v>23</v>
      </c>
      <c r="I110" s="4">
        <v>40007.49</v>
      </c>
      <c r="J110" t="s">
        <v>215</v>
      </c>
      <c r="K110" t="s">
        <v>218</v>
      </c>
    </row>
    <row r="111" spans="1:11" x14ac:dyDescent="0.45">
      <c r="A111">
        <v>10111</v>
      </c>
      <c r="B111" s="2" t="s">
        <v>245</v>
      </c>
      <c r="C111" t="s">
        <v>10</v>
      </c>
      <c r="D111" s="1">
        <v>34777</v>
      </c>
      <c r="E111" t="s">
        <v>11</v>
      </c>
      <c r="F111" s="1">
        <v>44133</v>
      </c>
      <c r="G111" t="s">
        <v>12</v>
      </c>
      <c r="H111" t="s">
        <v>13</v>
      </c>
      <c r="I111" s="4">
        <v>69719.75</v>
      </c>
      <c r="J111" t="s">
        <v>215</v>
      </c>
      <c r="K111" t="s">
        <v>217</v>
      </c>
    </row>
    <row r="112" spans="1:11" x14ac:dyDescent="0.45">
      <c r="A112">
        <v>10112</v>
      </c>
      <c r="B112" s="2" t="s">
        <v>246</v>
      </c>
      <c r="C112" t="s">
        <v>24</v>
      </c>
      <c r="D112" s="1">
        <v>36187</v>
      </c>
      <c r="E112" t="s">
        <v>11</v>
      </c>
      <c r="F112" s="1">
        <v>42137</v>
      </c>
      <c r="G112" t="s">
        <v>25</v>
      </c>
      <c r="H112" t="s">
        <v>23</v>
      </c>
      <c r="I112" s="4">
        <v>40007.49</v>
      </c>
      <c r="J112" t="s">
        <v>215</v>
      </c>
      <c r="K112" t="s">
        <v>218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Sheet2</vt:lpstr>
      <vt:lpstr>Info</vt:lpstr>
      <vt:lpstr>DataSheet</vt:lpstr>
      <vt:lpstr>Department</vt:lpstr>
      <vt:lpstr>Gender</vt:lpstr>
      <vt:lpstr>myrange01</vt:lpstr>
      <vt:lpstr>myrange04</vt:lpstr>
      <vt:lpstr>myrange3</vt:lpstr>
      <vt:lpstr>myrange5</vt:lpstr>
      <vt:lpstr>oyo</vt:lpstr>
      <vt:lpstr>Table01</vt:lpstr>
      <vt:lpstr>Table02</vt:lpstr>
      <vt:lpstr>Two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Diran Oke</dc:creator>
  <cp:lastModifiedBy>Diran Oke</cp:lastModifiedBy>
  <dcterms:created xsi:type="dcterms:W3CDTF">2024-03-27T03:24:58Z</dcterms:created>
  <dcterms:modified xsi:type="dcterms:W3CDTF">2024-03-31T03:23:02Z</dcterms:modified>
</cp:coreProperties>
</file>